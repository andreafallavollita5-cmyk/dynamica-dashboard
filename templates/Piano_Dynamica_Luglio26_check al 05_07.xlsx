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docs\DynamicaRetail\Piani&amp;Report\"/>
    </mc:Choice>
  </mc:AlternateContent>
  <xr:revisionPtr revIDLastSave="0" documentId="13_ncr:1_{D31965B0-FF5E-4DD1-961D-56C3A19D1F32}" xr6:coauthVersionLast="47" xr6:coauthVersionMax="47" xr10:uidLastSave="{00000000-0000-0000-0000-000000000000}"/>
  <bookViews>
    <workbookView xWindow="-108" yWindow="-108" windowWidth="23256" windowHeight="12456" xr2:uid="{B039C358-F8C1-45F8-80E3-6434D1B74591}"/>
  </bookViews>
  <sheets>
    <sheet name="PianoLuglio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1" l="1"/>
  <c r="R36" i="1"/>
  <c r="K11" i="1"/>
  <c r="M11" i="1"/>
  <c r="N11" i="1" s="1"/>
  <c r="O11" i="1" s="1"/>
  <c r="R35" i="1"/>
  <c r="E66" i="1"/>
  <c r="W19" i="1"/>
  <c r="X19" i="1" s="1"/>
  <c r="W10" i="1"/>
  <c r="X10" i="1" s="1"/>
  <c r="W11" i="1"/>
  <c r="X11" i="1" s="1"/>
  <c r="W13" i="1"/>
  <c r="X13" i="1" s="1"/>
  <c r="W16" i="1"/>
  <c r="X16" i="1" s="1"/>
  <c r="W15" i="1"/>
  <c r="X15" i="1" s="1"/>
  <c r="W17" i="1"/>
  <c r="X17" i="1" s="1"/>
  <c r="W9" i="1"/>
  <c r="X9" i="1" s="1"/>
  <c r="D66" i="1"/>
  <c r="S36" i="1"/>
  <c r="S35" i="1"/>
  <c r="T8" i="1"/>
  <c r="W8" i="1" s="1"/>
  <c r="X8" i="1" s="1"/>
  <c r="R5" i="1"/>
  <c r="S5" i="1" s="1"/>
  <c r="U5" i="1" s="1"/>
  <c r="V5" i="1" s="1"/>
  <c r="R7" i="1"/>
  <c r="S7" i="1" s="1"/>
  <c r="U7" i="1" s="1"/>
  <c r="V7" i="1" s="1"/>
  <c r="R3" i="1"/>
  <c r="S3" i="1" s="1"/>
  <c r="U3" i="1" s="1"/>
  <c r="V3" i="1" s="1"/>
  <c r="T24" i="1"/>
  <c r="T27" i="1"/>
  <c r="T26" i="1"/>
  <c r="T25" i="1"/>
  <c r="R26" i="1"/>
  <c r="S26" i="1" s="1"/>
  <c r="R27" i="1"/>
  <c r="S27" i="1" s="1"/>
  <c r="R25" i="1"/>
  <c r="S25" i="1" s="1"/>
  <c r="U25" i="1" s="1"/>
  <c r="R17" i="1"/>
  <c r="S17" i="1" s="1"/>
  <c r="U17" i="1" s="1"/>
  <c r="V17" i="1" s="1"/>
  <c r="R10" i="1"/>
  <c r="S10" i="1" s="1"/>
  <c r="U10" i="1" s="1"/>
  <c r="V10" i="1" s="1"/>
  <c r="R11" i="1"/>
  <c r="S11" i="1" s="1"/>
  <c r="U11" i="1" s="1"/>
  <c r="V11" i="1" s="1"/>
  <c r="R13" i="1"/>
  <c r="S13" i="1" s="1"/>
  <c r="U13" i="1" s="1"/>
  <c r="V13" i="1" s="1"/>
  <c r="R16" i="1"/>
  <c r="S16" i="1" s="1"/>
  <c r="U16" i="1" s="1"/>
  <c r="V16" i="1" s="1"/>
  <c r="R15" i="1"/>
  <c r="R19" i="1"/>
  <c r="S19" i="1" s="1"/>
  <c r="U19" i="1" s="1"/>
  <c r="V19" i="1" s="1"/>
  <c r="R20" i="1"/>
  <c r="S20" i="1" s="1"/>
  <c r="U20" i="1" s="1"/>
  <c r="V20" i="1" s="1"/>
  <c r="R21" i="1"/>
  <c r="S21" i="1" s="1"/>
  <c r="U21" i="1" s="1"/>
  <c r="V21" i="1" s="1"/>
  <c r="R9" i="1"/>
  <c r="S9" i="1" s="1"/>
  <c r="U9" i="1" s="1"/>
  <c r="V9" i="1" s="1"/>
  <c r="P24" i="1"/>
  <c r="P28" i="1"/>
  <c r="S15" i="1"/>
  <c r="U15" i="1" s="1"/>
  <c r="V15" i="1" s="1"/>
  <c r="W21" i="1"/>
  <c r="X21" i="1" s="1"/>
  <c r="W20" i="1"/>
  <c r="X20" i="1" s="1"/>
  <c r="M25" i="1"/>
  <c r="N25" i="1" s="1"/>
  <c r="O25" i="1" s="1"/>
  <c r="Q25" i="1" s="1"/>
  <c r="M10" i="1"/>
  <c r="N10" i="1" s="1"/>
  <c r="M17" i="1"/>
  <c r="N17" i="1" s="1"/>
  <c r="O17" i="1" s="1"/>
  <c r="M9" i="1"/>
  <c r="N9" i="1" s="1"/>
  <c r="M13" i="1"/>
  <c r="N13" i="1" s="1"/>
  <c r="M16" i="1"/>
  <c r="N16" i="1" s="1"/>
  <c r="M15" i="1"/>
  <c r="N15" i="1" s="1"/>
  <c r="M19" i="1"/>
  <c r="N19" i="1" s="1"/>
  <c r="M20" i="1"/>
  <c r="N20" i="1" s="1"/>
  <c r="M21" i="1"/>
  <c r="N21" i="1" s="1"/>
  <c r="M22" i="1"/>
  <c r="M26" i="1"/>
  <c r="N26" i="1" s="1"/>
  <c r="O26" i="1" s="1"/>
  <c r="Q26" i="1" s="1"/>
  <c r="M27" i="1"/>
  <c r="N27" i="1" s="1"/>
  <c r="O27" i="1" s="1"/>
  <c r="Q27" i="1" s="1"/>
  <c r="K9" i="1"/>
  <c r="K10" i="1"/>
  <c r="K13" i="1"/>
  <c r="K16" i="1"/>
  <c r="K15" i="1"/>
  <c r="K17" i="1"/>
  <c r="K19" i="1"/>
  <c r="K20" i="1"/>
  <c r="K21" i="1"/>
  <c r="K22" i="1"/>
  <c r="K25" i="1"/>
  <c r="K26" i="1"/>
  <c r="K27" i="1"/>
  <c r="S37" i="1" l="1"/>
  <c r="S38" i="1" s="1"/>
  <c r="T28" i="1"/>
  <c r="T29" i="1" s="1"/>
  <c r="W24" i="1"/>
  <c r="O10" i="1"/>
  <c r="Q10" i="1" s="1"/>
  <c r="O16" i="1"/>
  <c r="Q16" i="1" s="1"/>
  <c r="O19" i="1"/>
  <c r="Q19" i="1" s="1"/>
  <c r="O20" i="1"/>
  <c r="Q20" i="1" s="1"/>
  <c r="O9" i="1"/>
  <c r="Q9" i="1" s="1"/>
  <c r="Q17" i="1"/>
  <c r="O13" i="1"/>
  <c r="Q13" i="1" s="1"/>
  <c r="Q11" i="1"/>
  <c r="O15" i="1"/>
  <c r="Q15" i="1" s="1"/>
  <c r="O21" i="1"/>
  <c r="Q21" i="1" s="1"/>
  <c r="W27" i="1"/>
  <c r="U27" i="1"/>
  <c r="V27" i="1" s="1"/>
  <c r="W26" i="1"/>
  <c r="U26" i="1"/>
  <c r="V26" i="1" s="1"/>
  <c r="W25" i="1"/>
  <c r="V25" i="1"/>
  <c r="K24" i="1"/>
  <c r="M28" i="1"/>
  <c r="N28" i="1" s="1"/>
  <c r="O28" i="1" s="1"/>
  <c r="M24" i="1"/>
  <c r="N24" i="1" s="1"/>
  <c r="O24" i="1" s="1"/>
  <c r="K28" i="1"/>
  <c r="Q28" i="1" l="1"/>
  <c r="P29" i="1"/>
  <c r="W29" i="1" s="1"/>
  <c r="W28" i="1"/>
  <c r="K29" i="1"/>
  <c r="Q24" i="1"/>
  <c r="H24" i="1"/>
  <c r="R24" i="1" s="1"/>
  <c r="S24" i="1" s="1"/>
  <c r="U24" i="1" s="1"/>
  <c r="V24" i="1" s="1"/>
  <c r="H28" i="1"/>
  <c r="R28" i="1" s="1"/>
  <c r="S28" i="1" s="1"/>
  <c r="U28" i="1" s="1"/>
  <c r="V28" i="1" s="1"/>
  <c r="H8" i="1"/>
  <c r="M8" i="1" l="1"/>
  <c r="N8" i="1" s="1"/>
  <c r="O8" i="1" s="1"/>
  <c r="O29" i="1" s="1"/>
  <c r="Q29" i="1" s="1"/>
  <c r="R8" i="1"/>
  <c r="S8" i="1" s="1"/>
  <c r="U8" i="1" s="1"/>
  <c r="V8" i="1" s="1"/>
  <c r="L24" i="1"/>
  <c r="X24" i="1" s="1"/>
  <c r="J28" i="1"/>
  <c r="J24" i="1"/>
  <c r="L28" i="1"/>
  <c r="H29" i="1"/>
  <c r="R29" i="1" l="1"/>
  <c r="S29" i="1" s="1"/>
  <c r="U29" i="1" s="1"/>
  <c r="V29" i="1" s="1"/>
  <c r="J29" i="1"/>
  <c r="M29" i="1"/>
  <c r="L29" i="1" s="1"/>
  <c r="X29" i="1" s="1"/>
  <c r="I23" i="1"/>
  <c r="I8" i="1"/>
  <c r="I28" i="1"/>
  <c r="I5" i="1"/>
  <c r="I22" i="1"/>
  <c r="I7" i="1"/>
  <c r="I15" i="1"/>
  <c r="I9" i="1"/>
  <c r="I17" i="1"/>
  <c r="I29" i="1"/>
  <c r="I10" i="1"/>
  <c r="I18" i="1"/>
  <c r="I19" i="1"/>
  <c r="I25" i="1"/>
  <c r="I11" i="1"/>
  <c r="I20" i="1"/>
  <c r="I26" i="1"/>
  <c r="I13" i="1"/>
  <c r="I21" i="1"/>
  <c r="I27" i="1"/>
  <c r="I3" i="1"/>
  <c r="I16" i="1"/>
  <c r="I24" i="1"/>
  <c r="Q8" i="1" l="1"/>
  <c r="N29" i="1"/>
</calcChain>
</file>

<file path=xl/sharedStrings.xml><?xml version="1.0" encoding="utf-8"?>
<sst xmlns="http://schemas.openxmlformats.org/spreadsheetml/2006/main" count="122" uniqueCount="74">
  <si>
    <t>Funnel</t>
  </si>
  <si>
    <t>Canale</t>
  </si>
  <si>
    <t>Campagna</t>
  </si>
  <si>
    <t>Investimento Media</t>
  </si>
  <si>
    <t>%</t>
  </si>
  <si>
    <t>CPP medio</t>
  </si>
  <si>
    <t>Stima Pratiche</t>
  </si>
  <si>
    <t>CPL medio</t>
  </si>
  <si>
    <t>Stima Lead</t>
  </si>
  <si>
    <t>Area Clienti</t>
  </si>
  <si>
    <t>Search</t>
  </si>
  <si>
    <t>CQ e CQP | Calcola Preventivo - Area Clienti</t>
  </si>
  <si>
    <t>Display</t>
  </si>
  <si>
    <t>TOT Area Clienti</t>
  </si>
  <si>
    <t>Lead Veloce</t>
  </si>
  <si>
    <t>DEM</t>
  </si>
  <si>
    <t>DEM DYNAMICS ADVICE ME</t>
  </si>
  <si>
    <t>DEM DIGITOO</t>
  </si>
  <si>
    <t>TOT DEM</t>
  </si>
  <si>
    <t>[BMK 2025] LeadGen CQD PEN [Romania]</t>
  </si>
  <si>
    <t>[BMK 2025] LeadGen CQD PEN [Tunisia]</t>
  </si>
  <si>
    <t>[BMK 2025] LeadGen CQD PEN [Albania]</t>
  </si>
  <si>
    <t>Pulsanti</t>
  </si>
  <si>
    <t>TOT Lead Veloce</t>
  </si>
  <si>
    <t xml:space="preserve">Google </t>
  </si>
  <si>
    <t>Meta</t>
  </si>
  <si>
    <t>DYN_AREACL 2.0 - PURCHASE</t>
  </si>
  <si>
    <t>Dem</t>
  </si>
  <si>
    <t>DYN_AREACL Delega di Pagamento - Area Clienti</t>
  </si>
  <si>
    <t>DYN_PUL NEW Meta</t>
  </si>
  <si>
    <t>DYN_VELOCE Landing a pulsanti</t>
  </si>
  <si>
    <t>DYN_VELOCE New Creative Apr26</t>
  </si>
  <si>
    <t>DYN_VELOCE LeadGen DIP - CQD | CBO Scaling (F3)</t>
  </si>
  <si>
    <t>DEM TIG</t>
  </si>
  <si>
    <t>Stima lead giornaliere</t>
  </si>
  <si>
    <t>DYN_PUL Leads-Pmax</t>
  </si>
  <si>
    <t>reklame</t>
  </si>
  <si>
    <t>DYN_VELOCE CQ Pensionati QUINTO DIGITALE</t>
  </si>
  <si>
    <t>DYN_VELOCE CQ Pensionati ESTERO - Paesi Prioritari QUINTO DIGITALE</t>
  </si>
  <si>
    <t>Whatsapp</t>
  </si>
  <si>
    <t>DYN_Landing_Whatsapp</t>
  </si>
  <si>
    <t>Stima lead al 05/07</t>
  </si>
  <si>
    <t>Lead effettive</t>
  </si>
  <si>
    <t>Delta lead</t>
  </si>
  <si>
    <t>google</t>
  </si>
  <si>
    <t>meta</t>
  </si>
  <si>
    <t>dem</t>
  </si>
  <si>
    <t>Stima spending al 05/07</t>
  </si>
  <si>
    <t xml:space="preserve">Delta speso </t>
  </si>
  <si>
    <t xml:space="preserve">Speso effettivo 05/07 </t>
  </si>
  <si>
    <t>%Delta delivery</t>
  </si>
  <si>
    <t xml:space="preserve">CPL </t>
  </si>
  <si>
    <t>Delta CPL</t>
  </si>
  <si>
    <t>Stima giornaliero</t>
  </si>
  <si>
    <t>giorni mese</t>
  </si>
  <si>
    <t>giorni mese DEM</t>
  </si>
  <si>
    <t xml:space="preserve">controlloDEM </t>
  </si>
  <si>
    <t>TOTALI</t>
  </si>
  <si>
    <t>Lead per giorno</t>
  </si>
  <si>
    <t xml:space="preserve">controllo </t>
  </si>
  <si>
    <t>Totale</t>
  </si>
  <si>
    <t xml:space="preserve">Pianificato </t>
  </si>
  <si>
    <t>Effettivo</t>
  </si>
  <si>
    <t xml:space="preserve">abbassato leggermente lo spending giornaliero </t>
  </si>
  <si>
    <t>Nuova campagna pronta</t>
  </si>
  <si>
    <t xml:space="preserve">diminuito cpa target che era stato alzato per aiutare la campagna ad uscire dalla fase di apprendimento </t>
  </si>
  <si>
    <t xml:space="preserve">diminuito cpa target - alzato a giugno per dare più dati alla campagna che è stata rilanciata da zero </t>
  </si>
  <si>
    <t xml:space="preserve">ID Campagna </t>
  </si>
  <si>
    <t xml:space="preserve">ATTIVATA nuova campagna - quando esce da apprendimento abbassare cpa target </t>
  </si>
  <si>
    <t>DYN_VELOCE CQ Pensionati [Esatta]</t>
  </si>
  <si>
    <t>DYN_VELOCE CQ Pensionati ESTERO - Paesi Prioritari</t>
  </si>
  <si>
    <t>DYN_VELOCE Cessione del Quinto QUINTO DIGITALE</t>
  </si>
  <si>
    <t>DYN_VELOCE Cessione del Quinto [Esatta]</t>
  </si>
  <si>
    <t>chiesto push per settimana del 06/07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</si>
</sst>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&quot;€&quot;_-;\-* #,##0\ &quot;€&quot;_-;_-* &quot;-&quot;??\ &quot;€&quot;_-;_-@_-"/>
    <numFmt numFmtId="166" formatCode="0.0%"/>
    <numFmt numFmtId="167" formatCode="_-* #,##0.0_-;\-* #,##0.0_-;_-* &quot;-&quot;??_-;_-@_-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1C2B33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154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8" fontId="2" fillId="0" borderId="4" xfId="0" applyNumberFormat="1" applyFont="1" applyBorder="1" applyAlignment="1">
      <alignment horizontal="center"/>
    </xf>
    <xf numFmtId="44" fontId="0" fillId="0" borderId="4" xfId="2" applyFont="1" applyBorder="1" applyAlignment="1">
      <alignment horizontal="center" vertical="center"/>
    </xf>
    <xf numFmtId="164" fontId="0" fillId="0" borderId="0" xfId="1" applyNumberFormat="1" applyFont="1"/>
    <xf numFmtId="0" fontId="4" fillId="0" borderId="0" xfId="0" applyFont="1"/>
    <xf numFmtId="9" fontId="0" fillId="0" borderId="4" xfId="3" applyFont="1" applyBorder="1"/>
    <xf numFmtId="165" fontId="0" fillId="0" borderId="4" xfId="2" applyNumberFormat="1" applyFont="1" applyBorder="1"/>
    <xf numFmtId="164" fontId="0" fillId="0" borderId="4" xfId="1" applyNumberFormat="1" applyFont="1" applyBorder="1"/>
    <xf numFmtId="8" fontId="2" fillId="0" borderId="3" xfId="0" applyNumberFormat="1" applyFont="1" applyBorder="1" applyAlignment="1">
      <alignment horizontal="center" vertical="center"/>
    </xf>
    <xf numFmtId="0" fontId="4" fillId="2" borderId="7" xfId="0" applyFont="1" applyFill="1" applyBorder="1"/>
    <xf numFmtId="44" fontId="3" fillId="2" borderId="7" xfId="0" applyNumberFormat="1" applyFont="1" applyFill="1" applyBorder="1"/>
    <xf numFmtId="9" fontId="3" fillId="2" borderId="7" xfId="3" applyFont="1" applyFill="1" applyBorder="1"/>
    <xf numFmtId="164" fontId="3" fillId="2" borderId="7" xfId="1" applyNumberFormat="1" applyFont="1" applyFill="1" applyBorder="1"/>
    <xf numFmtId="164" fontId="3" fillId="2" borderId="8" xfId="1" applyNumberFormat="1" applyFont="1" applyFill="1" applyBorder="1"/>
    <xf numFmtId="44" fontId="0" fillId="0" borderId="4" xfId="2" applyFont="1" applyBorder="1" applyAlignment="1">
      <alignment vertical="center"/>
    </xf>
    <xf numFmtId="9" fontId="0" fillId="0" borderId="4" xfId="3" applyFont="1" applyBorder="1" applyAlignment="1">
      <alignment vertical="center"/>
    </xf>
    <xf numFmtId="165" fontId="0" fillId="0" borderId="4" xfId="2" applyNumberFormat="1" applyFont="1" applyBorder="1" applyAlignment="1">
      <alignment vertical="center"/>
    </xf>
    <xf numFmtId="165" fontId="0" fillId="0" borderId="4" xfId="3" applyNumberFormat="1" applyFont="1" applyBorder="1"/>
    <xf numFmtId="9" fontId="0" fillId="0" borderId="3" xfId="3" applyFont="1" applyBorder="1"/>
    <xf numFmtId="165" fontId="0" fillId="0" borderId="3" xfId="2" applyNumberFormat="1" applyFont="1" applyBorder="1"/>
    <xf numFmtId="164" fontId="0" fillId="0" borderId="19" xfId="1" applyNumberFormat="1" applyFont="1" applyBorder="1"/>
    <xf numFmtId="0" fontId="4" fillId="2" borderId="7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8" fontId="3" fillId="2" borderId="7" xfId="0" applyNumberFormat="1" applyFont="1" applyFill="1" applyBorder="1"/>
    <xf numFmtId="0" fontId="4" fillId="4" borderId="1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left" vertical="center"/>
    </xf>
    <xf numFmtId="8" fontId="4" fillId="4" borderId="6" xfId="2" applyNumberFormat="1" applyFont="1" applyFill="1" applyBorder="1" applyAlignment="1">
      <alignment horizontal="center" vertical="center"/>
    </xf>
    <xf numFmtId="165" fontId="4" fillId="4" borderId="7" xfId="2" applyNumberFormat="1" applyFont="1" applyFill="1" applyBorder="1"/>
    <xf numFmtId="164" fontId="4" fillId="4" borderId="7" xfId="1" applyNumberFormat="1" applyFont="1" applyFill="1" applyBorder="1"/>
    <xf numFmtId="164" fontId="4" fillId="4" borderId="8" xfId="1" applyNumberFormat="1" applyFont="1" applyFill="1" applyBorder="1"/>
    <xf numFmtId="0" fontId="0" fillId="0" borderId="0" xfId="0" applyAlignment="1">
      <alignment horizontal="center"/>
    </xf>
    <xf numFmtId="164" fontId="5" fillId="3" borderId="1" xfId="1" applyNumberFormat="1" applyFont="1" applyFill="1" applyBorder="1" applyAlignment="1">
      <alignment horizontal="center" vertical="center"/>
    </xf>
    <xf numFmtId="164" fontId="5" fillId="3" borderId="2" xfId="1" applyNumberFormat="1" applyFont="1" applyFill="1" applyBorder="1" applyAlignment="1">
      <alignment horizontal="center" vertical="center"/>
    </xf>
    <xf numFmtId="164" fontId="5" fillId="3" borderId="2" xfId="1" applyNumberFormat="1" applyFont="1" applyFill="1" applyBorder="1" applyAlignment="1">
      <alignment horizontal="center" vertical="center" wrapText="1"/>
    </xf>
    <xf numFmtId="164" fontId="5" fillId="3" borderId="5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4" fontId="0" fillId="0" borderId="3" xfId="0" applyNumberFormat="1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44" fontId="0" fillId="0" borderId="4" xfId="0" applyNumberFormat="1" applyBorder="1"/>
    <xf numFmtId="0" fontId="0" fillId="0" borderId="4" xfId="0" applyBorder="1"/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44" fontId="0" fillId="0" borderId="0" xfId="0" applyNumberFormat="1"/>
    <xf numFmtId="10" fontId="0" fillId="0" borderId="0" xfId="3" applyNumberFormat="1" applyFont="1"/>
    <xf numFmtId="164" fontId="0" fillId="0" borderId="21" xfId="1" applyNumberFormat="1" applyFont="1" applyBorder="1"/>
    <xf numFmtId="164" fontId="5" fillId="3" borderId="19" xfId="1" applyNumberFormat="1" applyFont="1" applyFill="1" applyBorder="1" applyAlignment="1">
      <alignment horizontal="center" vertical="center" wrapText="1"/>
    </xf>
    <xf numFmtId="8" fontId="0" fillId="0" borderId="0" xfId="0" applyNumberFormat="1"/>
    <xf numFmtId="164" fontId="0" fillId="0" borderId="0" xfId="0" applyNumberFormat="1"/>
    <xf numFmtId="16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8" fillId="0" borderId="8" xfId="0" applyNumberFormat="1" applyFont="1" applyBorder="1" applyAlignment="1">
      <alignment horizontal="center"/>
    </xf>
    <xf numFmtId="164" fontId="0" fillId="0" borderId="17" xfId="0" applyNumberFormat="1" applyBorder="1"/>
    <xf numFmtId="9" fontId="0" fillId="0" borderId="20" xfId="3" applyFont="1" applyBorder="1"/>
    <xf numFmtId="44" fontId="0" fillId="0" borderId="17" xfId="2" applyFont="1" applyBorder="1"/>
    <xf numFmtId="164" fontId="4" fillId="7" borderId="10" xfId="0" applyNumberFormat="1" applyFont="1" applyFill="1" applyBorder="1"/>
    <xf numFmtId="164" fontId="4" fillId="7" borderId="7" xfId="0" applyNumberFormat="1" applyFont="1" applyFill="1" applyBorder="1" applyAlignment="1">
      <alignment horizontal="center"/>
    </xf>
    <xf numFmtId="1" fontId="8" fillId="7" borderId="8" xfId="0" applyNumberFormat="1" applyFont="1" applyFill="1" applyBorder="1" applyAlignment="1">
      <alignment horizontal="center"/>
    </xf>
    <xf numFmtId="8" fontId="4" fillId="7" borderId="7" xfId="0" applyNumberFormat="1" applyFont="1" applyFill="1" applyBorder="1"/>
    <xf numFmtId="9" fontId="4" fillId="7" borderId="8" xfId="3" applyFont="1" applyFill="1" applyBorder="1"/>
    <xf numFmtId="8" fontId="4" fillId="7" borderId="10" xfId="2" applyNumberFormat="1" applyFont="1" applyFill="1" applyBorder="1"/>
    <xf numFmtId="8" fontId="4" fillId="7" borderId="8" xfId="0" applyNumberFormat="1" applyFont="1" applyFill="1" applyBorder="1"/>
    <xf numFmtId="167" fontId="0" fillId="0" borderId="17" xfId="0" applyNumberFormat="1" applyBorder="1"/>
    <xf numFmtId="164" fontId="6" fillId="3" borderId="18" xfId="1" applyNumberFormat="1" applyFont="1" applyFill="1" applyBorder="1" applyAlignment="1">
      <alignment horizontal="center" vertical="center" wrapText="1"/>
    </xf>
    <xf numFmtId="164" fontId="6" fillId="3" borderId="5" xfId="1" applyNumberFormat="1" applyFont="1" applyFill="1" applyBorder="1" applyAlignment="1">
      <alignment horizontal="center" vertical="center" wrapText="1"/>
    </xf>
    <xf numFmtId="164" fontId="6" fillId="6" borderId="22" xfId="1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1" fontId="8" fillId="0" borderId="20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" fontId="9" fillId="0" borderId="20" xfId="0" applyNumberFormat="1" applyFont="1" applyBorder="1" applyAlignment="1">
      <alignment horizontal="center"/>
    </xf>
    <xf numFmtId="164" fontId="3" fillId="2" borderId="15" xfId="0" applyNumberFormat="1" applyFont="1" applyFill="1" applyBorder="1"/>
    <xf numFmtId="164" fontId="3" fillId="2" borderId="11" xfId="0" applyNumberFormat="1" applyFont="1" applyFill="1" applyBorder="1"/>
    <xf numFmtId="164" fontId="6" fillId="3" borderId="16" xfId="1" applyNumberFormat="1" applyFont="1" applyFill="1" applyBorder="1" applyAlignment="1">
      <alignment horizontal="center" vertical="center" wrapText="1"/>
    </xf>
    <xf numFmtId="164" fontId="6" fillId="3" borderId="22" xfId="1" applyNumberFormat="1" applyFont="1" applyFill="1" applyBorder="1" applyAlignment="1">
      <alignment horizontal="center" vertical="center" wrapText="1"/>
    </xf>
    <xf numFmtId="0" fontId="0" fillId="0" borderId="20" xfId="0" applyBorder="1"/>
    <xf numFmtId="8" fontId="0" fillId="0" borderId="17" xfId="0" applyNumberFormat="1" applyBorder="1"/>
    <xf numFmtId="8" fontId="3" fillId="2" borderId="15" xfId="0" applyNumberFormat="1" applyFont="1" applyFill="1" applyBorder="1"/>
    <xf numFmtId="8" fontId="3" fillId="2" borderId="11" xfId="0" applyNumberFormat="1" applyFont="1" applyFill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44" fontId="0" fillId="0" borderId="24" xfId="2" applyFont="1" applyBorder="1" applyAlignment="1">
      <alignment horizontal="center" vertical="center"/>
    </xf>
    <xf numFmtId="9" fontId="0" fillId="0" borderId="24" xfId="3" applyFont="1" applyBorder="1"/>
    <xf numFmtId="165" fontId="0" fillId="0" borderId="24" xfId="2" applyNumberFormat="1" applyFont="1" applyBorder="1"/>
    <xf numFmtId="164" fontId="0" fillId="0" borderId="24" xfId="1" applyNumberFormat="1" applyFont="1" applyBorder="1"/>
    <xf numFmtId="164" fontId="0" fillId="0" borderId="25" xfId="1" applyNumberFormat="1" applyFont="1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44" fontId="0" fillId="0" borderId="26" xfId="2" applyFont="1" applyBorder="1" applyAlignment="1">
      <alignment horizontal="center" vertical="center"/>
    </xf>
    <xf numFmtId="9" fontId="0" fillId="0" borderId="26" xfId="3" applyFont="1" applyBorder="1"/>
    <xf numFmtId="165" fontId="0" fillId="0" borderId="26" xfId="3" applyNumberFormat="1" applyFont="1" applyBorder="1"/>
    <xf numFmtId="164" fontId="0" fillId="0" borderId="26" xfId="1" applyNumberFormat="1" applyFont="1" applyBorder="1"/>
    <xf numFmtId="165" fontId="0" fillId="0" borderId="26" xfId="2" applyNumberFormat="1" applyFont="1" applyBorder="1"/>
    <xf numFmtId="0" fontId="4" fillId="4" borderId="7" xfId="0" applyFont="1" applyFill="1" applyBorder="1" applyAlignment="1">
      <alignment horizontal="left" vertical="center"/>
    </xf>
    <xf numFmtId="44" fontId="4" fillId="4" borderId="7" xfId="2" applyFont="1" applyFill="1" applyBorder="1" applyAlignment="1">
      <alignment horizontal="center" vertical="center"/>
    </xf>
    <xf numFmtId="166" fontId="4" fillId="4" borderId="7" xfId="3" applyNumberFormat="1" applyFont="1" applyFill="1" applyBorder="1"/>
    <xf numFmtId="164" fontId="4" fillId="5" borderId="7" xfId="0" applyNumberFormat="1" applyFont="1" applyFill="1" applyBorder="1"/>
    <xf numFmtId="8" fontId="0" fillId="5" borderId="10" xfId="0" applyNumberFormat="1" applyFill="1" applyBorder="1"/>
    <xf numFmtId="8" fontId="4" fillId="5" borderId="7" xfId="0" applyNumberFormat="1" applyFont="1" applyFill="1" applyBorder="1"/>
    <xf numFmtId="0" fontId="0" fillId="0" borderId="28" xfId="0" applyBorder="1" applyAlignment="1">
      <alignment horizontal="center" vertical="center"/>
    </xf>
    <xf numFmtId="0" fontId="0" fillId="0" borderId="28" xfId="0" applyBorder="1"/>
    <xf numFmtId="8" fontId="2" fillId="0" borderId="28" xfId="0" applyNumberFormat="1" applyFont="1" applyBorder="1" applyAlignment="1">
      <alignment horizontal="center"/>
    </xf>
    <xf numFmtId="9" fontId="0" fillId="0" borderId="28" xfId="3" applyFont="1" applyBorder="1"/>
    <xf numFmtId="44" fontId="0" fillId="0" borderId="28" xfId="0" applyNumberFormat="1" applyBorder="1"/>
    <xf numFmtId="164" fontId="0" fillId="0" borderId="29" xfId="1" applyNumberFormat="1" applyFont="1" applyBorder="1"/>
    <xf numFmtId="0" fontId="0" fillId="0" borderId="30" xfId="0" applyBorder="1" applyAlignment="1">
      <alignment horizontal="center" vertical="center"/>
    </xf>
    <xf numFmtId="8" fontId="4" fillId="5" borderId="10" xfId="0" applyNumberFormat="1" applyFont="1" applyFill="1" applyBorder="1"/>
    <xf numFmtId="9" fontId="3" fillId="2" borderId="12" xfId="3" applyFont="1" applyFill="1" applyBorder="1"/>
    <xf numFmtId="9" fontId="0" fillId="0" borderId="8" xfId="3" applyFont="1" applyBorder="1"/>
    <xf numFmtId="44" fontId="9" fillId="0" borderId="20" xfId="0" applyNumberFormat="1" applyFont="1" applyBorder="1" applyAlignment="1">
      <alignment horizontal="center"/>
    </xf>
    <xf numFmtId="44" fontId="4" fillId="0" borderId="10" xfId="0" applyNumberFormat="1" applyFont="1" applyBorder="1"/>
    <xf numFmtId="44" fontId="4" fillId="0" borderId="10" xfId="3" applyNumberFormat="1" applyFont="1" applyBorder="1"/>
    <xf numFmtId="44" fontId="9" fillId="0" borderId="8" xfId="0" applyNumberFormat="1" applyFont="1" applyBorder="1" applyAlignment="1">
      <alignment horizontal="center"/>
    </xf>
    <xf numFmtId="44" fontId="3" fillId="2" borderId="15" xfId="0" applyNumberFormat="1" applyFont="1" applyFill="1" applyBorder="1"/>
    <xf numFmtId="44" fontId="3" fillId="2" borderId="12" xfId="0" applyNumberFormat="1" applyFont="1" applyFill="1" applyBorder="1"/>
    <xf numFmtId="44" fontId="4" fillId="5" borderId="7" xfId="0" applyNumberFormat="1" applyFont="1" applyFill="1" applyBorder="1"/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left"/>
    </xf>
    <xf numFmtId="44" fontId="0" fillId="0" borderId="28" xfId="2" applyFont="1" applyBorder="1"/>
    <xf numFmtId="165" fontId="0" fillId="0" borderId="28" xfId="3" applyNumberFormat="1" applyFont="1" applyBorder="1" applyAlignment="1">
      <alignment horizontal="right"/>
    </xf>
    <xf numFmtId="164" fontId="0" fillId="0" borderId="28" xfId="1" applyNumberFormat="1" applyFont="1" applyBorder="1"/>
    <xf numFmtId="165" fontId="0" fillId="0" borderId="28" xfId="2" applyNumberFormat="1" applyFont="1" applyBorder="1"/>
    <xf numFmtId="0" fontId="4" fillId="4" borderId="14" xfId="0" applyFont="1" applyFill="1" applyBorder="1" applyAlignment="1">
      <alignment horizontal="left"/>
    </xf>
    <xf numFmtId="44" fontId="4" fillId="4" borderId="6" xfId="2" applyFont="1" applyFill="1" applyBorder="1"/>
    <xf numFmtId="165" fontId="4" fillId="4" borderId="7" xfId="3" applyNumberFormat="1" applyFont="1" applyFill="1" applyBorder="1" applyAlignment="1">
      <alignment horizontal="right"/>
    </xf>
    <xf numFmtId="164" fontId="4" fillId="4" borderId="7" xfId="0" applyNumberFormat="1" applyFont="1" applyFill="1" applyBorder="1"/>
    <xf numFmtId="164" fontId="4" fillId="4" borderId="8" xfId="0" applyNumberFormat="1" applyFont="1" applyFill="1" applyBorder="1"/>
    <xf numFmtId="168" fontId="4" fillId="2" borderId="12" xfId="0" applyNumberFormat="1" applyFont="1" applyFill="1" applyBorder="1" applyAlignment="1">
      <alignment horizontal="center"/>
    </xf>
    <xf numFmtId="1" fontId="11" fillId="0" borderId="0" xfId="0" applyNumberFormat="1" applyFont="1"/>
    <xf numFmtId="1" fontId="12" fillId="3" borderId="2" xfId="1" applyNumberFormat="1" applyFont="1" applyFill="1" applyBorder="1" applyAlignment="1">
      <alignment horizontal="center" vertical="center"/>
    </xf>
    <xf numFmtId="1" fontId="15" fillId="4" borderId="7" xfId="0" applyNumberFormat="1" applyFont="1" applyFill="1" applyBorder="1" applyAlignment="1">
      <alignment horizontal="center" vertical="center"/>
    </xf>
    <xf numFmtId="1" fontId="15" fillId="2" borderId="7" xfId="0" applyNumberFormat="1" applyFont="1" applyFill="1" applyBorder="1"/>
    <xf numFmtId="0" fontId="13" fillId="0" borderId="4" xfId="0" applyFont="1" applyBorder="1" applyAlignment="1">
      <alignment horizontal="left"/>
    </xf>
    <xf numFmtId="1" fontId="14" fillId="0" borderId="28" xfId="0" applyNumberFormat="1" applyFont="1" applyBorder="1" applyAlignment="1">
      <alignment horizontal="left"/>
    </xf>
    <xf numFmtId="1" fontId="15" fillId="4" borderId="7" xfId="0" applyNumberFormat="1" applyFont="1" applyFill="1" applyBorder="1" applyAlignment="1">
      <alignment horizontal="left" vertical="center"/>
    </xf>
    <xf numFmtId="1" fontId="13" fillId="0" borderId="26" xfId="0" applyNumberFormat="1" applyFont="1" applyBorder="1" applyAlignment="1">
      <alignment horizontal="left"/>
    </xf>
    <xf numFmtId="1" fontId="14" fillId="0" borderId="4" xfId="0" applyNumberFormat="1" applyFont="1" applyBorder="1" applyAlignment="1">
      <alignment horizontal="left"/>
    </xf>
    <xf numFmtId="1" fontId="11" fillId="0" borderId="4" xfId="0" applyNumberFormat="1" applyFont="1" applyBorder="1" applyAlignment="1">
      <alignment horizontal="left" vertical="center"/>
    </xf>
    <xf numFmtId="1" fontId="11" fillId="0" borderId="26" xfId="0" applyNumberFormat="1" applyFont="1" applyBorder="1" applyAlignment="1">
      <alignment horizontal="left" vertical="center"/>
    </xf>
    <xf numFmtId="1" fontId="11" fillId="0" borderId="28" xfId="0" applyNumberFormat="1" applyFont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8" fontId="0" fillId="0" borderId="4" xfId="0" applyNumberFormat="1" applyBorder="1"/>
    <xf numFmtId="0" fontId="13" fillId="8" borderId="4" xfId="0" applyFont="1" applyFill="1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28" xfId="2" applyFont="1" applyBorder="1" applyAlignment="1">
      <alignment horizontal="center" vertical="center"/>
    </xf>
    <xf numFmtId="44" fontId="0" fillId="0" borderId="26" xfId="2" applyFont="1" applyBorder="1" applyAlignment="1">
      <alignment horizontal="center" vertical="center"/>
    </xf>
    <xf numFmtId="9" fontId="0" fillId="0" borderId="28" xfId="3" applyFont="1" applyBorder="1" applyAlignment="1">
      <alignment horizontal="right" vertical="center"/>
    </xf>
    <xf numFmtId="9" fontId="0" fillId="0" borderId="26" xfId="3" applyFont="1" applyBorder="1" applyAlignment="1">
      <alignment horizontal="right" vertical="center"/>
    </xf>
    <xf numFmtId="165" fontId="0" fillId="0" borderId="28" xfId="3" applyNumberFormat="1" applyFont="1" applyBorder="1" applyAlignment="1">
      <alignment horizontal="center" vertical="center"/>
    </xf>
    <xf numFmtId="165" fontId="0" fillId="0" borderId="26" xfId="3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8" xfId="1" applyNumberFormat="1" applyFont="1" applyBorder="1" applyAlignment="1">
      <alignment horizontal="center" vertical="center"/>
    </xf>
    <xf numFmtId="164" fontId="0" fillId="0" borderId="26" xfId="1" applyNumberFormat="1" applyFont="1" applyBorder="1" applyAlignment="1">
      <alignment horizontal="center" vertical="center"/>
    </xf>
    <xf numFmtId="165" fontId="0" fillId="0" borderId="28" xfId="2" applyNumberFormat="1" applyFont="1" applyBorder="1" applyAlignment="1">
      <alignment horizontal="center" vertical="center"/>
    </xf>
    <xf numFmtId="165" fontId="0" fillId="0" borderId="26" xfId="2" applyNumberFormat="1" applyFont="1" applyBorder="1" applyAlignment="1">
      <alignment horizontal="center" vertical="center"/>
    </xf>
    <xf numFmtId="164" fontId="0" fillId="0" borderId="29" xfId="1" applyNumberFormat="1" applyFont="1" applyBorder="1" applyAlignment="1">
      <alignment horizontal="center" vertical="center"/>
    </xf>
    <xf numFmtId="164" fontId="0" fillId="0" borderId="21" xfId="1" applyNumberFormat="1" applyFon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8" fontId="0" fillId="0" borderId="17" xfId="0" applyNumberForma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44" fontId="9" fillId="0" borderId="20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9" fontId="0" fillId="0" borderId="20" xfId="3" applyFont="1" applyBorder="1" applyAlignment="1">
      <alignment horizontal="center" vertical="center"/>
    </xf>
    <xf numFmtId="44" fontId="0" fillId="0" borderId="17" xfId="2" applyFont="1" applyBorder="1" applyAlignment="1">
      <alignment horizontal="center" vertical="center"/>
    </xf>
    <xf numFmtId="8" fontId="2" fillId="0" borderId="26" xfId="0" applyNumberFormat="1" applyFont="1" applyBorder="1" applyAlignment="1">
      <alignment horizontal="center" vertical="center"/>
    </xf>
    <xf numFmtId="44" fontId="0" fillId="0" borderId="26" xfId="0" applyNumberFormat="1" applyBorder="1"/>
    <xf numFmtId="0" fontId="0" fillId="0" borderId="26" xfId="0" applyBorder="1"/>
    <xf numFmtId="0" fontId="13" fillId="0" borderId="28" xfId="0" applyFont="1" applyBorder="1" applyAlignment="1">
      <alignment horizontal="left"/>
    </xf>
    <xf numFmtId="0" fontId="0" fillId="0" borderId="2" xfId="0" applyBorder="1" applyAlignment="1">
      <alignment horizontal="center" vertical="center"/>
    </xf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71DF-BE60-4895-8C76-340BE7A6130E}">
  <dimension ref="C1:Y66"/>
  <sheetViews>
    <sheetView tabSelected="1" topLeftCell="B1" zoomScale="62" zoomScaleNormal="130" workbookViewId="0">
      <selection activeCell="Q41" sqref="Q41"/>
    </sheetView>
  </sheetViews>
  <sheetFormatPr defaultColWidth="8.88671875" defaultRowHeight="14.4" x14ac:dyDescent="0.3"/>
  <cols>
    <col min="1" max="1" width="3.6640625" customWidth="1"/>
    <col min="2" max="2" width="4" customWidth="1"/>
    <col min="3" max="3" width="18.109375" style="31" customWidth="1"/>
    <col min="4" max="4" width="13.109375" style="31" customWidth="1"/>
    <col min="5" max="5" width="8" bestFit="1" customWidth="1"/>
    <col min="6" max="6" width="14.44140625" style="135" customWidth="1"/>
    <col min="7" max="7" width="65.21875" customWidth="1"/>
    <col min="8" max="8" width="13.44140625" bestFit="1" customWidth="1"/>
    <col min="10" max="10" width="11" bestFit="1" customWidth="1"/>
    <col min="11" max="11" width="9.44140625" bestFit="1" customWidth="1"/>
    <col min="12" max="12" width="9.88671875" bestFit="1" customWidth="1"/>
    <col min="13" max="13" width="9.44140625" bestFit="1" customWidth="1"/>
    <col min="14" max="16" width="11.5546875" customWidth="1"/>
    <col min="17" max="17" width="11.33203125" style="31" bestFit="1" customWidth="1"/>
    <col min="18" max="20" width="13.109375" customWidth="1"/>
    <col min="21" max="21" width="11.5546875" customWidth="1"/>
    <col min="22" max="22" width="13.77734375" customWidth="1"/>
    <col min="23" max="23" width="10" bestFit="1" customWidth="1"/>
    <col min="25" max="25" width="92" bestFit="1" customWidth="1"/>
  </cols>
  <sheetData>
    <row r="1" spans="3:25" ht="24" thickBot="1" x14ac:dyDescent="0.5">
      <c r="Q1" s="54"/>
    </row>
    <row r="2" spans="3:25" ht="43.8" thickBot="1" x14ac:dyDescent="0.35">
      <c r="C2" s="32" t="s">
        <v>0</v>
      </c>
      <c r="D2" s="33" t="s">
        <v>1</v>
      </c>
      <c r="E2" s="33" t="s">
        <v>1</v>
      </c>
      <c r="F2" s="136" t="s">
        <v>67</v>
      </c>
      <c r="G2" s="34" t="s">
        <v>2</v>
      </c>
      <c r="H2" s="35" t="s">
        <v>3</v>
      </c>
      <c r="I2" s="35" t="s">
        <v>4</v>
      </c>
      <c r="J2" s="35" t="s">
        <v>5</v>
      </c>
      <c r="K2" s="35" t="s">
        <v>6</v>
      </c>
      <c r="L2" s="35" t="s">
        <v>7</v>
      </c>
      <c r="M2" s="50" t="s">
        <v>8</v>
      </c>
      <c r="N2" s="67" t="s">
        <v>34</v>
      </c>
      <c r="O2" s="68" t="s">
        <v>41</v>
      </c>
      <c r="P2" s="68" t="s">
        <v>42</v>
      </c>
      <c r="Q2" s="69" t="s">
        <v>43</v>
      </c>
      <c r="R2" s="78" t="s">
        <v>53</v>
      </c>
      <c r="S2" s="68" t="s">
        <v>47</v>
      </c>
      <c r="T2" s="68" t="s">
        <v>49</v>
      </c>
      <c r="U2" s="68" t="s">
        <v>48</v>
      </c>
      <c r="V2" s="79" t="s">
        <v>50</v>
      </c>
      <c r="W2" s="78" t="s">
        <v>51</v>
      </c>
      <c r="X2" s="79" t="s">
        <v>52</v>
      </c>
    </row>
    <row r="3" spans="3:25" x14ac:dyDescent="0.3">
      <c r="C3" s="152" t="s">
        <v>9</v>
      </c>
      <c r="D3" s="36" t="s">
        <v>24</v>
      </c>
      <c r="E3" s="182" t="s">
        <v>10</v>
      </c>
      <c r="F3" s="139">
        <v>17559294673</v>
      </c>
      <c r="G3" s="37" t="s">
        <v>11</v>
      </c>
      <c r="H3" s="8">
        <v>9500</v>
      </c>
      <c r="I3" s="18">
        <f t="shared" ref="I3:I11" si="0">H3/H$29</f>
        <v>0.15079365079365079</v>
      </c>
      <c r="J3" s="19"/>
      <c r="K3" s="38"/>
      <c r="L3" s="39"/>
      <c r="M3" s="49"/>
      <c r="N3" s="70"/>
      <c r="Q3" s="71"/>
      <c r="R3" s="81">
        <f t="shared" ref="R3:R11" si="1">H3/J$35</f>
        <v>306.45161290322579</v>
      </c>
      <c r="S3" s="51">
        <f t="shared" ref="S3:S11" si="2">R3*M$35</f>
        <v>1532.258064516129</v>
      </c>
      <c r="T3" s="51">
        <v>1603.54</v>
      </c>
      <c r="U3" s="51">
        <f t="shared" ref="U3:U11" si="3">T3-S3</f>
        <v>71.281935483870939</v>
      </c>
      <c r="V3" s="57">
        <f t="shared" ref="V3:V7" si="4">U3/S3</f>
        <v>4.6520842105263138E-2</v>
      </c>
      <c r="W3" s="70"/>
      <c r="X3" s="80"/>
      <c r="Y3" t="s">
        <v>64</v>
      </c>
    </row>
    <row r="4" spans="3:25" x14ac:dyDescent="0.3">
      <c r="C4" s="151"/>
      <c r="D4" s="92"/>
      <c r="E4" s="160"/>
      <c r="F4" s="139"/>
      <c r="G4" s="94"/>
      <c r="H4" s="178"/>
      <c r="I4" s="96"/>
      <c r="J4" s="99"/>
      <c r="K4" s="179"/>
      <c r="L4" s="180"/>
      <c r="M4" s="49"/>
      <c r="N4" s="70"/>
      <c r="Q4" s="72"/>
      <c r="R4" s="81"/>
      <c r="S4" s="51"/>
      <c r="T4" s="51"/>
      <c r="U4" s="51"/>
      <c r="V4" s="57"/>
      <c r="W4" s="70"/>
      <c r="X4" s="80"/>
    </row>
    <row r="5" spans="3:25" x14ac:dyDescent="0.3">
      <c r="C5" s="151"/>
      <c r="D5" s="40" t="s">
        <v>24</v>
      </c>
      <c r="E5" s="159" t="s">
        <v>10</v>
      </c>
      <c r="F5" s="139">
        <v>17559324373</v>
      </c>
      <c r="G5" s="42" t="s">
        <v>28</v>
      </c>
      <c r="H5" s="1">
        <v>1500</v>
      </c>
      <c r="I5" s="5">
        <f t="shared" si="0"/>
        <v>2.3809523809523808E-2</v>
      </c>
      <c r="J5" s="5"/>
      <c r="K5" s="41"/>
      <c r="L5" s="42"/>
      <c r="M5" s="20"/>
      <c r="N5" s="70"/>
      <c r="Q5" s="72"/>
      <c r="R5" s="81">
        <f t="shared" si="1"/>
        <v>48.387096774193552</v>
      </c>
      <c r="S5" s="51">
        <f t="shared" si="2"/>
        <v>241.93548387096774</v>
      </c>
      <c r="T5" s="51">
        <v>276.52</v>
      </c>
      <c r="U5" s="51">
        <f t="shared" si="3"/>
        <v>34.584516129032238</v>
      </c>
      <c r="V5" s="57">
        <f t="shared" si="4"/>
        <v>0.14294933333333326</v>
      </c>
      <c r="W5" s="70"/>
      <c r="X5" s="80"/>
      <c r="Y5" t="s">
        <v>64</v>
      </c>
    </row>
    <row r="6" spans="3:25" x14ac:dyDescent="0.3">
      <c r="C6" s="151"/>
      <c r="D6" s="106"/>
      <c r="E6" s="160"/>
      <c r="F6" s="181"/>
      <c r="G6" s="107"/>
      <c r="H6" s="108"/>
      <c r="I6" s="109"/>
      <c r="J6" s="109"/>
      <c r="K6" s="110"/>
      <c r="L6" s="107"/>
      <c r="M6" s="111"/>
      <c r="N6" s="70"/>
      <c r="Q6" s="72"/>
      <c r="R6" s="81"/>
      <c r="S6" s="51"/>
      <c r="T6" s="51"/>
      <c r="U6" s="51"/>
      <c r="V6" s="57"/>
      <c r="W6" s="70"/>
      <c r="X6" s="80"/>
    </row>
    <row r="7" spans="3:25" ht="15" thickBot="1" x14ac:dyDescent="0.35">
      <c r="C7" s="151"/>
      <c r="D7" s="106" t="s">
        <v>25</v>
      </c>
      <c r="E7" s="106" t="s">
        <v>12</v>
      </c>
      <c r="F7" s="140">
        <v>6905931065575</v>
      </c>
      <c r="G7" s="107" t="s">
        <v>26</v>
      </c>
      <c r="H7" s="108">
        <v>10000</v>
      </c>
      <c r="I7" s="109">
        <f t="shared" si="0"/>
        <v>0.15873015873015872</v>
      </c>
      <c r="J7" s="109"/>
      <c r="K7" s="110"/>
      <c r="L7" s="107"/>
      <c r="M7" s="111"/>
      <c r="N7" s="70"/>
      <c r="Q7" s="72"/>
      <c r="R7" s="81">
        <f t="shared" si="1"/>
        <v>322.58064516129031</v>
      </c>
      <c r="S7" s="51">
        <f t="shared" si="2"/>
        <v>1612.9032258064515</v>
      </c>
      <c r="T7" s="51">
        <v>2161.7800000000002</v>
      </c>
      <c r="U7" s="51">
        <f t="shared" si="3"/>
        <v>548.87677419354873</v>
      </c>
      <c r="V7" s="57">
        <f t="shared" si="4"/>
        <v>0.34030360000000026</v>
      </c>
      <c r="W7" s="70"/>
      <c r="X7" s="80"/>
      <c r="Y7" t="s">
        <v>63</v>
      </c>
    </row>
    <row r="8" spans="3:25" s="4" customFormat="1" ht="15" thickBot="1" x14ac:dyDescent="0.35">
      <c r="C8" s="24" t="s">
        <v>13</v>
      </c>
      <c r="D8" s="25"/>
      <c r="E8" s="25"/>
      <c r="F8" s="141"/>
      <c r="G8" s="26"/>
      <c r="H8" s="27">
        <f>SUM(H3:H7)</f>
        <v>21000</v>
      </c>
      <c r="I8" s="102">
        <f t="shared" si="0"/>
        <v>0.33333333333333331</v>
      </c>
      <c r="J8" s="28">
        <v>400</v>
      </c>
      <c r="K8" s="29">
        <v>50</v>
      </c>
      <c r="L8" s="28">
        <v>45</v>
      </c>
      <c r="M8" s="30">
        <f>H8/L8</f>
        <v>466.66666666666669</v>
      </c>
      <c r="N8" s="59">
        <f>M8/J$35</f>
        <v>15.053763440860216</v>
      </c>
      <c r="O8" s="103">
        <f>N8*M$35</f>
        <v>75.268817204301087</v>
      </c>
      <c r="P8" s="103">
        <v>90</v>
      </c>
      <c r="Q8" s="55">
        <f>O8-P8</f>
        <v>-14.731182795698913</v>
      </c>
      <c r="R8" s="104">
        <f t="shared" si="1"/>
        <v>677.41935483870964</v>
      </c>
      <c r="S8" s="105">
        <f t="shared" si="2"/>
        <v>3387.0967741935483</v>
      </c>
      <c r="T8" s="105">
        <f>SUM(T3:T7)</f>
        <v>4041.84</v>
      </c>
      <c r="U8" s="122">
        <f t="shared" si="3"/>
        <v>654.74322580645185</v>
      </c>
      <c r="V8" s="115">
        <f t="shared" ref="V8:V20" si="5">U8/S8</f>
        <v>0.19330514285714293</v>
      </c>
      <c r="W8" s="117">
        <f>T8/P8</f>
        <v>44.909333333333336</v>
      </c>
      <c r="X8" s="119">
        <f>W8-L8</f>
        <v>-9.0666666666663787E-2</v>
      </c>
    </row>
    <row r="9" spans="3:25" x14ac:dyDescent="0.3">
      <c r="C9" s="112" t="s">
        <v>14</v>
      </c>
      <c r="D9" s="92" t="s">
        <v>24</v>
      </c>
      <c r="E9" s="92" t="s">
        <v>10</v>
      </c>
      <c r="F9" s="142">
        <v>23968989759</v>
      </c>
      <c r="G9" s="94" t="s">
        <v>71</v>
      </c>
      <c r="H9" s="95">
        <v>4000</v>
      </c>
      <c r="I9" s="96">
        <f t="shared" si="0"/>
        <v>6.3492063492063489E-2</v>
      </c>
      <c r="J9" s="99">
        <v>700</v>
      </c>
      <c r="K9" s="98">
        <f t="shared" ref="K9:K22" si="6">H9/J9</f>
        <v>5.7142857142857144</v>
      </c>
      <c r="L9" s="99">
        <v>34</v>
      </c>
      <c r="M9" s="49">
        <f t="shared" ref="M9:M16" si="7">H9/L9</f>
        <v>117.64705882352941</v>
      </c>
      <c r="N9" s="66">
        <f>M9/J$35</f>
        <v>3.795066413662239</v>
      </c>
      <c r="O9" s="74">
        <f>N9*M$35</f>
        <v>18.975332068311197</v>
      </c>
      <c r="P9" s="74">
        <v>15</v>
      </c>
      <c r="Q9" s="75">
        <f>O9-P9</f>
        <v>3.9753320683111966</v>
      </c>
      <c r="R9" s="81">
        <f t="shared" si="1"/>
        <v>129.03225806451613</v>
      </c>
      <c r="S9" s="51">
        <f t="shared" si="2"/>
        <v>645.16129032258061</v>
      </c>
      <c r="T9" s="51">
        <v>701.44</v>
      </c>
      <c r="U9" s="51">
        <f t="shared" si="3"/>
        <v>56.278709677419442</v>
      </c>
      <c r="V9" s="57">
        <f t="shared" si="5"/>
        <v>8.7232000000000143E-2</v>
      </c>
      <c r="W9" s="58">
        <f>T9/P9</f>
        <v>46.762666666666668</v>
      </c>
      <c r="X9" s="116">
        <f>W9-L9</f>
        <v>12.762666666666668</v>
      </c>
      <c r="Y9" t="s">
        <v>66</v>
      </c>
    </row>
    <row r="10" spans="3:25" x14ac:dyDescent="0.3">
      <c r="C10" s="43" t="s">
        <v>14</v>
      </c>
      <c r="D10" s="40" t="s">
        <v>24</v>
      </c>
      <c r="E10" s="40" t="s">
        <v>10</v>
      </c>
      <c r="F10" s="139">
        <v>22822606735</v>
      </c>
      <c r="G10" s="44" t="s">
        <v>72</v>
      </c>
      <c r="H10" s="2">
        <v>9000</v>
      </c>
      <c r="I10" s="5">
        <f t="shared" si="0"/>
        <v>0.14285714285714285</v>
      </c>
      <c r="J10" s="6">
        <v>600</v>
      </c>
      <c r="K10" s="7">
        <f t="shared" si="6"/>
        <v>15</v>
      </c>
      <c r="L10" s="6">
        <v>38.5</v>
      </c>
      <c r="M10" s="20">
        <f>H10/L10</f>
        <v>233.76623376623377</v>
      </c>
      <c r="N10" s="66">
        <f>M10/J$35</f>
        <v>7.5408462505236695</v>
      </c>
      <c r="O10" s="74">
        <f>N10*M$35</f>
        <v>37.704231252618349</v>
      </c>
      <c r="P10" s="74">
        <v>34</v>
      </c>
      <c r="Q10" s="75">
        <f t="shared" ref="Q10:Q24" si="8">O10-P10</f>
        <v>3.7042312526183494</v>
      </c>
      <c r="R10" s="81">
        <f t="shared" si="1"/>
        <v>290.32258064516128</v>
      </c>
      <c r="S10" s="51">
        <f t="shared" si="2"/>
        <v>1451.6129032258063</v>
      </c>
      <c r="T10" s="51">
        <v>1376.44</v>
      </c>
      <c r="U10" s="51">
        <f t="shared" si="3"/>
        <v>-75.172903225806294</v>
      </c>
      <c r="V10" s="57">
        <f t="shared" si="5"/>
        <v>-5.1785777777777674E-2</v>
      </c>
      <c r="W10" s="58">
        <f t="shared" ref="W10:W17" si="9">T10/P10</f>
        <v>40.483529411764707</v>
      </c>
      <c r="X10" s="116">
        <f>W10-L10</f>
        <v>1.9835294117647067</v>
      </c>
      <c r="Y10" t="s">
        <v>64</v>
      </c>
    </row>
    <row r="11" spans="3:25" x14ac:dyDescent="0.3">
      <c r="C11" s="161" t="s">
        <v>14</v>
      </c>
      <c r="D11" s="159" t="s">
        <v>24</v>
      </c>
      <c r="E11" s="159" t="s">
        <v>10</v>
      </c>
      <c r="F11" s="150">
        <v>23061435070</v>
      </c>
      <c r="G11" s="147" t="s">
        <v>69</v>
      </c>
      <c r="H11" s="153">
        <v>1000</v>
      </c>
      <c r="I11" s="155">
        <f t="shared" si="0"/>
        <v>1.5873015873015872E-2</v>
      </c>
      <c r="J11" s="157">
        <v>800</v>
      </c>
      <c r="K11" s="163">
        <f t="shared" si="6"/>
        <v>1.25</v>
      </c>
      <c r="L11" s="165">
        <v>38</v>
      </c>
      <c r="M11" s="167">
        <f t="shared" si="7"/>
        <v>26.315789473684209</v>
      </c>
      <c r="N11" s="169">
        <f>M11/J$35</f>
        <v>0.84889643463497444</v>
      </c>
      <c r="O11" s="170">
        <f>N11*M$35</f>
        <v>4.2444821731748723</v>
      </c>
      <c r="P11" s="170">
        <v>5</v>
      </c>
      <c r="Q11" s="171">
        <f t="shared" si="8"/>
        <v>-0.75551782682512769</v>
      </c>
      <c r="R11" s="172">
        <f t="shared" si="1"/>
        <v>32.258064516129032</v>
      </c>
      <c r="S11" s="173">
        <f t="shared" si="2"/>
        <v>161.29032258064515</v>
      </c>
      <c r="T11" s="173">
        <v>96.1</v>
      </c>
      <c r="U11" s="173">
        <f t="shared" si="3"/>
        <v>-65.190322580645159</v>
      </c>
      <c r="V11" s="176">
        <f t="shared" si="5"/>
        <v>-0.40417999999999998</v>
      </c>
      <c r="W11" s="177">
        <f t="shared" si="9"/>
        <v>19.22</v>
      </c>
      <c r="X11" s="174">
        <f>W11-L11</f>
        <v>-18.78</v>
      </c>
      <c r="Y11" s="175" t="s">
        <v>68</v>
      </c>
    </row>
    <row r="12" spans="3:25" x14ac:dyDescent="0.3">
      <c r="C12" s="162"/>
      <c r="D12" s="160"/>
      <c r="E12" s="160"/>
      <c r="F12" s="139">
        <v>23993375943</v>
      </c>
      <c r="G12" s="44" t="s">
        <v>37</v>
      </c>
      <c r="H12" s="154"/>
      <c r="I12" s="156"/>
      <c r="J12" s="158"/>
      <c r="K12" s="164"/>
      <c r="L12" s="166"/>
      <c r="M12" s="168"/>
      <c r="N12" s="169"/>
      <c r="O12" s="170"/>
      <c r="P12" s="170"/>
      <c r="Q12" s="171"/>
      <c r="R12" s="172"/>
      <c r="S12" s="173"/>
      <c r="T12" s="173"/>
      <c r="U12" s="173"/>
      <c r="V12" s="176"/>
      <c r="W12" s="177"/>
      <c r="X12" s="174"/>
      <c r="Y12" s="175"/>
    </row>
    <row r="13" spans="3:25" x14ac:dyDescent="0.3">
      <c r="C13" s="161" t="s">
        <v>14</v>
      </c>
      <c r="D13" s="159" t="s">
        <v>24</v>
      </c>
      <c r="E13" s="159" t="s">
        <v>10</v>
      </c>
      <c r="F13" s="150">
        <v>23267957688</v>
      </c>
      <c r="G13" s="147" t="s">
        <v>70</v>
      </c>
      <c r="H13" s="153">
        <v>1000</v>
      </c>
      <c r="I13" s="155">
        <f>H13/H$29</f>
        <v>1.5873015873015872E-2</v>
      </c>
      <c r="J13" s="165">
        <v>1000</v>
      </c>
      <c r="K13" s="163">
        <f t="shared" si="6"/>
        <v>1</v>
      </c>
      <c r="L13" s="165">
        <v>250</v>
      </c>
      <c r="M13" s="167">
        <f>H13/L13</f>
        <v>4</v>
      </c>
      <c r="N13" s="169">
        <f>M13/J$35</f>
        <v>0.12903225806451613</v>
      </c>
      <c r="O13" s="170">
        <f>N13*M$35</f>
        <v>0.64516129032258063</v>
      </c>
      <c r="P13" s="170">
        <v>1</v>
      </c>
      <c r="Q13" s="171">
        <f t="shared" si="8"/>
        <v>-0.35483870967741937</v>
      </c>
      <c r="R13" s="172">
        <f>H13/J$35</f>
        <v>32.258064516129032</v>
      </c>
      <c r="S13" s="173">
        <f>R13*M$35</f>
        <v>161.29032258064515</v>
      </c>
      <c r="T13" s="173">
        <v>175.7</v>
      </c>
      <c r="U13" s="173">
        <f t="shared" ref="U13:U20" si="10">T13-S13</f>
        <v>14.409677419354836</v>
      </c>
      <c r="V13" s="176">
        <f t="shared" si="5"/>
        <v>8.9339999999999989E-2</v>
      </c>
      <c r="W13" s="177">
        <f t="shared" si="9"/>
        <v>175.7</v>
      </c>
      <c r="X13" s="174">
        <f>W13-L13</f>
        <v>-74.300000000000011</v>
      </c>
      <c r="Y13" s="175" t="s">
        <v>68</v>
      </c>
    </row>
    <row r="14" spans="3:25" x14ac:dyDescent="0.3">
      <c r="C14" s="162"/>
      <c r="D14" s="160"/>
      <c r="E14" s="160"/>
      <c r="F14" s="139">
        <v>23993437149</v>
      </c>
      <c r="G14" s="44" t="s">
        <v>38</v>
      </c>
      <c r="H14" s="154"/>
      <c r="I14" s="156"/>
      <c r="J14" s="166"/>
      <c r="K14" s="164"/>
      <c r="L14" s="166"/>
      <c r="M14" s="168"/>
      <c r="N14" s="169"/>
      <c r="O14" s="170"/>
      <c r="P14" s="170"/>
      <c r="Q14" s="171"/>
      <c r="R14" s="172"/>
      <c r="S14" s="173"/>
      <c r="T14" s="173"/>
      <c r="U14" s="173"/>
      <c r="V14" s="176"/>
      <c r="W14" s="177"/>
      <c r="X14" s="174"/>
      <c r="Y14" s="175"/>
    </row>
    <row r="15" spans="3:25" x14ac:dyDescent="0.3">
      <c r="C15" s="43" t="s">
        <v>22</v>
      </c>
      <c r="D15" s="40" t="s">
        <v>24</v>
      </c>
      <c r="E15" s="40" t="s">
        <v>10</v>
      </c>
      <c r="F15" s="139">
        <v>22660883424</v>
      </c>
      <c r="G15" s="44" t="s">
        <v>30</v>
      </c>
      <c r="H15" s="2">
        <v>1500</v>
      </c>
      <c r="I15" s="5">
        <f t="shared" ref="I15:I22" si="11">H15/H$29</f>
        <v>2.3809523809523808E-2</v>
      </c>
      <c r="J15" s="6">
        <v>320</v>
      </c>
      <c r="K15" s="7">
        <f>H15/J15</f>
        <v>4.6875</v>
      </c>
      <c r="L15" s="6">
        <v>40</v>
      </c>
      <c r="M15" s="20">
        <f>H15/L15</f>
        <v>37.5</v>
      </c>
      <c r="N15" s="66">
        <f>M15/J$35</f>
        <v>1.2096774193548387</v>
      </c>
      <c r="O15" s="74">
        <f>N15*M$35</f>
        <v>6.0483870967741939</v>
      </c>
      <c r="P15" s="74">
        <v>9</v>
      </c>
      <c r="Q15" s="75">
        <f>O15-P15</f>
        <v>-2.9516129032258061</v>
      </c>
      <c r="R15" s="81">
        <f>H15/J$35</f>
        <v>48.387096774193552</v>
      </c>
      <c r="S15" s="51">
        <f>R15*M$35</f>
        <v>241.93548387096774</v>
      </c>
      <c r="T15" s="51">
        <v>285.16000000000003</v>
      </c>
      <c r="U15" s="51">
        <f>T15-S15</f>
        <v>43.224516129032281</v>
      </c>
      <c r="V15" s="57">
        <f>U15/S15</f>
        <v>0.17866133333333342</v>
      </c>
      <c r="W15" s="58">
        <f>T15/P15</f>
        <v>31.684444444444448</v>
      </c>
      <c r="X15" s="116">
        <f>W15-L15</f>
        <v>-8.3155555555555516</v>
      </c>
    </row>
    <row r="16" spans="3:25" x14ac:dyDescent="0.3">
      <c r="C16" s="43" t="s">
        <v>22</v>
      </c>
      <c r="D16" s="40" t="s">
        <v>24</v>
      </c>
      <c r="E16" s="40" t="s">
        <v>12</v>
      </c>
      <c r="F16" s="139">
        <v>21905808840</v>
      </c>
      <c r="G16" s="44" t="s">
        <v>35</v>
      </c>
      <c r="H16" s="14">
        <v>1500</v>
      </c>
      <c r="I16" s="15">
        <f t="shared" si="11"/>
        <v>2.3809523809523808E-2</v>
      </c>
      <c r="J16" s="16">
        <v>1000</v>
      </c>
      <c r="K16" s="7">
        <f t="shared" si="6"/>
        <v>1.5</v>
      </c>
      <c r="L16" s="16">
        <v>15</v>
      </c>
      <c r="M16" s="20">
        <f t="shared" si="7"/>
        <v>100</v>
      </c>
      <c r="N16" s="66">
        <f>M16/J$35</f>
        <v>3.225806451612903</v>
      </c>
      <c r="O16" s="74">
        <f>N16*M$35</f>
        <v>16.129032258064516</v>
      </c>
      <c r="P16" s="74">
        <v>28</v>
      </c>
      <c r="Q16" s="75">
        <f t="shared" si="8"/>
        <v>-11.870967741935484</v>
      </c>
      <c r="R16" s="81">
        <f>H16/J$35</f>
        <v>48.387096774193552</v>
      </c>
      <c r="S16" s="51">
        <f>R16*M$35</f>
        <v>241.93548387096774</v>
      </c>
      <c r="T16" s="51">
        <v>350.5</v>
      </c>
      <c r="U16" s="51">
        <f t="shared" si="10"/>
        <v>108.56451612903226</v>
      </c>
      <c r="V16" s="57">
        <f t="shared" si="5"/>
        <v>0.44873333333333332</v>
      </c>
      <c r="W16" s="58">
        <f t="shared" si="9"/>
        <v>12.517857142857142</v>
      </c>
      <c r="X16" s="116">
        <f>W16-L16</f>
        <v>-2.4821428571428577</v>
      </c>
      <c r="Y16" t="s">
        <v>63</v>
      </c>
    </row>
    <row r="17" spans="3:25" x14ac:dyDescent="0.3">
      <c r="C17" s="43" t="s">
        <v>14</v>
      </c>
      <c r="D17" s="40" t="s">
        <v>25</v>
      </c>
      <c r="E17" s="40" t="s">
        <v>12</v>
      </c>
      <c r="F17" s="143">
        <v>6944411197975</v>
      </c>
      <c r="G17" s="45" t="s">
        <v>31</v>
      </c>
      <c r="H17" s="2">
        <v>10000</v>
      </c>
      <c r="I17" s="5">
        <f t="shared" si="11"/>
        <v>0.15873015873015872</v>
      </c>
      <c r="J17" s="17">
        <v>500</v>
      </c>
      <c r="K17" s="7">
        <f t="shared" si="6"/>
        <v>20</v>
      </c>
      <c r="L17" s="6">
        <v>12.8</v>
      </c>
      <c r="M17" s="20">
        <f>H17/L17</f>
        <v>781.25</v>
      </c>
      <c r="N17" s="66">
        <f>M17/J$35</f>
        <v>25.201612903225808</v>
      </c>
      <c r="O17" s="74">
        <f>N17*M$35</f>
        <v>126.00806451612904</v>
      </c>
      <c r="P17" s="74">
        <v>88</v>
      </c>
      <c r="Q17" s="75">
        <f t="shared" si="8"/>
        <v>38.008064516129039</v>
      </c>
      <c r="R17" s="81">
        <f>H17/J$35</f>
        <v>322.58064516129031</v>
      </c>
      <c r="S17" s="51">
        <f>R17*M$35</f>
        <v>1612.9032258064515</v>
      </c>
      <c r="T17" s="51">
        <v>1600.56</v>
      </c>
      <c r="U17" s="51">
        <f t="shared" si="10"/>
        <v>-12.343225806451528</v>
      </c>
      <c r="V17" s="57">
        <f t="shared" si="5"/>
        <v>-7.6527999999999484E-3</v>
      </c>
      <c r="W17" s="58">
        <f t="shared" si="9"/>
        <v>18.188181818181818</v>
      </c>
      <c r="X17" s="116">
        <f>W17-L17</f>
        <v>5.3881818181818169</v>
      </c>
      <c r="Y17" t="s">
        <v>65</v>
      </c>
    </row>
    <row r="18" spans="3:25" x14ac:dyDescent="0.3">
      <c r="C18" s="43" t="s">
        <v>14</v>
      </c>
      <c r="D18" s="40" t="s">
        <v>25</v>
      </c>
      <c r="E18" s="40" t="s">
        <v>12</v>
      </c>
      <c r="F18" s="144"/>
      <c r="G18" s="45" t="s">
        <v>32</v>
      </c>
      <c r="H18" s="2">
        <v>0</v>
      </c>
      <c r="I18" s="5">
        <f t="shared" si="11"/>
        <v>0</v>
      </c>
      <c r="J18" s="17"/>
      <c r="K18" s="7"/>
      <c r="L18" s="6"/>
      <c r="M18" s="20"/>
      <c r="N18" s="66"/>
      <c r="O18" s="74"/>
      <c r="P18" s="74"/>
      <c r="Q18" s="75"/>
      <c r="R18" s="81"/>
      <c r="S18" s="51"/>
      <c r="T18" s="51"/>
      <c r="U18" s="51"/>
      <c r="V18" s="57"/>
      <c r="W18" s="58"/>
      <c r="X18" s="116"/>
    </row>
    <row r="19" spans="3:25" x14ac:dyDescent="0.3">
      <c r="C19" s="43" t="s">
        <v>14</v>
      </c>
      <c r="D19" s="40" t="s">
        <v>25</v>
      </c>
      <c r="E19" s="40" t="s">
        <v>12</v>
      </c>
      <c r="F19" s="143">
        <v>6970690462575</v>
      </c>
      <c r="G19" s="44" t="s">
        <v>19</v>
      </c>
      <c r="H19" s="2">
        <v>500</v>
      </c>
      <c r="I19" s="5">
        <f t="shared" si="11"/>
        <v>7.9365079365079361E-3</v>
      </c>
      <c r="J19" s="6">
        <v>540</v>
      </c>
      <c r="K19" s="7">
        <f t="shared" si="6"/>
        <v>0.92592592592592593</v>
      </c>
      <c r="L19" s="6">
        <v>40</v>
      </c>
      <c r="M19" s="20">
        <f>H19/L19</f>
        <v>12.5</v>
      </c>
      <c r="N19" s="66">
        <f>M19/J$35</f>
        <v>0.40322580645161288</v>
      </c>
      <c r="O19" s="74">
        <f>N19*M$35</f>
        <v>2.0161290322580645</v>
      </c>
      <c r="P19" s="74">
        <v>15</v>
      </c>
      <c r="Q19" s="75">
        <f t="shared" si="8"/>
        <v>-12.983870967741936</v>
      </c>
      <c r="R19" s="81">
        <f>H19/J$35</f>
        <v>16.129032258064516</v>
      </c>
      <c r="S19" s="51">
        <f>R19*M$35</f>
        <v>80.645161290322577</v>
      </c>
      <c r="T19" s="51">
        <v>132.96</v>
      </c>
      <c r="U19" s="51">
        <f t="shared" si="10"/>
        <v>52.314838709677431</v>
      </c>
      <c r="V19" s="57">
        <f t="shared" si="5"/>
        <v>0.64870400000000017</v>
      </c>
      <c r="W19" s="58">
        <f>T19/P19</f>
        <v>8.8640000000000008</v>
      </c>
      <c r="X19" s="116">
        <f>W19-L19</f>
        <v>-31.135999999999999</v>
      </c>
    </row>
    <row r="20" spans="3:25" x14ac:dyDescent="0.3">
      <c r="C20" s="43" t="s">
        <v>14</v>
      </c>
      <c r="D20" s="40" t="s">
        <v>25</v>
      </c>
      <c r="E20" s="40" t="s">
        <v>12</v>
      </c>
      <c r="F20" s="143">
        <v>6634088776775</v>
      </c>
      <c r="G20" s="42" t="s">
        <v>20</v>
      </c>
      <c r="H20" s="2">
        <v>1000</v>
      </c>
      <c r="I20" s="5">
        <f t="shared" si="11"/>
        <v>1.5873015873015872E-2</v>
      </c>
      <c r="J20" s="6">
        <v>540</v>
      </c>
      <c r="K20" s="7">
        <f t="shared" si="6"/>
        <v>1.8518518518518519</v>
      </c>
      <c r="L20" s="6">
        <v>90</v>
      </c>
      <c r="M20" s="20">
        <f>H20/L20</f>
        <v>11.111111111111111</v>
      </c>
      <c r="N20" s="66">
        <f>M20/J$35</f>
        <v>0.35842293906810035</v>
      </c>
      <c r="O20" s="74">
        <f>N20*M$35</f>
        <v>1.7921146953405018</v>
      </c>
      <c r="P20" s="74">
        <v>6</v>
      </c>
      <c r="Q20" s="75">
        <f t="shared" si="8"/>
        <v>-4.2078853046594986</v>
      </c>
      <c r="R20" s="81">
        <f>H20/J$35</f>
        <v>32.258064516129032</v>
      </c>
      <c r="S20" s="51">
        <f>R20*M$35</f>
        <v>161.29032258064515</v>
      </c>
      <c r="T20" s="51">
        <v>231.27</v>
      </c>
      <c r="U20" s="51">
        <f t="shared" si="10"/>
        <v>69.979677419354857</v>
      </c>
      <c r="V20" s="57">
        <f t="shared" si="5"/>
        <v>0.43387400000000015</v>
      </c>
      <c r="W20" s="58">
        <f>T20/P20</f>
        <v>38.545000000000002</v>
      </c>
      <c r="X20" s="116">
        <f>W20-L20</f>
        <v>-51.454999999999998</v>
      </c>
    </row>
    <row r="21" spans="3:25" x14ac:dyDescent="0.3">
      <c r="C21" s="43" t="s">
        <v>14</v>
      </c>
      <c r="D21" s="40" t="s">
        <v>25</v>
      </c>
      <c r="E21" s="40" t="s">
        <v>12</v>
      </c>
      <c r="F21" s="143">
        <v>6666147663775</v>
      </c>
      <c r="G21" s="42" t="s">
        <v>21</v>
      </c>
      <c r="H21" s="2">
        <v>500</v>
      </c>
      <c r="I21" s="5">
        <f t="shared" si="11"/>
        <v>7.9365079365079361E-3</v>
      </c>
      <c r="J21" s="6">
        <v>540</v>
      </c>
      <c r="K21" s="7">
        <f t="shared" si="6"/>
        <v>0.92592592592592593</v>
      </c>
      <c r="L21" s="6">
        <v>120</v>
      </c>
      <c r="M21" s="20">
        <f>H21/L21</f>
        <v>4.166666666666667</v>
      </c>
      <c r="N21" s="66">
        <f>M21/J$35</f>
        <v>0.13440860215053765</v>
      </c>
      <c r="O21" s="74">
        <f>N21*M$35</f>
        <v>0.67204301075268824</v>
      </c>
      <c r="P21" s="74">
        <v>3</v>
      </c>
      <c r="Q21" s="75">
        <f t="shared" ref="Q21" si="12">O21-P21</f>
        <v>-2.327956989247312</v>
      </c>
      <c r="R21" s="81">
        <f>H21/J$35</f>
        <v>16.129032258064516</v>
      </c>
      <c r="S21" s="51">
        <f>R21*M$35</f>
        <v>80.645161290322577</v>
      </c>
      <c r="T21" s="51">
        <v>90.06</v>
      </c>
      <c r="U21" s="51">
        <f t="shared" ref="U21" si="13">T21-S21</f>
        <v>9.4148387096774258</v>
      </c>
      <c r="V21" s="57">
        <f t="shared" ref="V21" si="14">U21/S21</f>
        <v>0.11674400000000008</v>
      </c>
      <c r="W21" s="58">
        <f>T21/P21</f>
        <v>30.02</v>
      </c>
      <c r="X21" s="116">
        <f>W21-L21</f>
        <v>-89.98</v>
      </c>
    </row>
    <row r="22" spans="3:25" x14ac:dyDescent="0.3">
      <c r="C22" s="43" t="s">
        <v>22</v>
      </c>
      <c r="D22" s="40" t="s">
        <v>25</v>
      </c>
      <c r="E22" s="40" t="s">
        <v>12</v>
      </c>
      <c r="F22" s="143">
        <v>6901683340975</v>
      </c>
      <c r="G22" s="44" t="s">
        <v>29</v>
      </c>
      <c r="H22" s="2">
        <v>1000</v>
      </c>
      <c r="I22" s="5">
        <f t="shared" si="11"/>
        <v>1.5873015873015872E-2</v>
      </c>
      <c r="J22" s="6">
        <v>400</v>
      </c>
      <c r="K22" s="7">
        <f t="shared" si="6"/>
        <v>2.5</v>
      </c>
      <c r="L22" s="6">
        <v>26</v>
      </c>
      <c r="M22" s="20">
        <f>H22/L22</f>
        <v>38.46153846153846</v>
      </c>
      <c r="N22" s="66"/>
      <c r="O22" s="74"/>
      <c r="P22" s="74"/>
      <c r="Q22" s="75"/>
      <c r="R22" s="81"/>
      <c r="S22" s="51"/>
      <c r="T22" s="51"/>
      <c r="U22" s="51"/>
      <c r="V22" s="57"/>
      <c r="W22" s="58"/>
      <c r="X22" s="116"/>
    </row>
    <row r="23" spans="3:25" ht="15" thickBot="1" x14ac:dyDescent="0.35">
      <c r="C23" s="84" t="s">
        <v>39</v>
      </c>
      <c r="D23" s="85" t="s">
        <v>25</v>
      </c>
      <c r="E23" s="85" t="s">
        <v>12</v>
      </c>
      <c r="F23" s="140">
        <v>52533122877779</v>
      </c>
      <c r="G23" s="86" t="s">
        <v>40</v>
      </c>
      <c r="H23" s="87"/>
      <c r="I23" s="88">
        <f t="shared" ref="I23" si="15">H23/H$29</f>
        <v>0</v>
      </c>
      <c r="J23" s="89"/>
      <c r="K23" s="90"/>
      <c r="L23" s="89"/>
      <c r="M23" s="91"/>
      <c r="N23" s="66"/>
      <c r="O23" s="74"/>
      <c r="P23" s="52"/>
      <c r="Q23" s="73"/>
      <c r="R23" s="81"/>
      <c r="S23" s="51"/>
      <c r="T23" s="51"/>
      <c r="U23" s="52"/>
      <c r="V23" s="80"/>
      <c r="W23" s="70"/>
      <c r="X23" s="116"/>
    </row>
    <row r="24" spans="3:25" s="4" customFormat="1" ht="15" thickBot="1" x14ac:dyDescent="0.35">
      <c r="C24" s="24" t="s">
        <v>23</v>
      </c>
      <c r="D24" s="25"/>
      <c r="E24" s="25"/>
      <c r="F24" s="141"/>
      <c r="G24" s="100"/>
      <c r="H24" s="101">
        <f>SUM(H9:H22)</f>
        <v>31000</v>
      </c>
      <c r="I24" s="102">
        <f t="shared" ref="I24:I29" si="16">H24/H$29</f>
        <v>0.49206349206349204</v>
      </c>
      <c r="J24" s="28">
        <f>H24/K24</f>
        <v>560.01672690343196</v>
      </c>
      <c r="K24" s="29">
        <f>SUM(K9:K22)</f>
        <v>55.355489417989418</v>
      </c>
      <c r="L24" s="28">
        <f>H24/M24</f>
        <v>22.682068258169956</v>
      </c>
      <c r="M24" s="30">
        <f>SUM(M9:M22)</f>
        <v>1366.7183983027637</v>
      </c>
      <c r="N24" s="59">
        <f>M24/J$35</f>
        <v>44.087690267831086</v>
      </c>
      <c r="O24" s="60">
        <f>N24*M$35</f>
        <v>220.43845133915542</v>
      </c>
      <c r="P24" s="103">
        <f>SUM(P9:P23)</f>
        <v>204</v>
      </c>
      <c r="Q24" s="55">
        <f t="shared" si="8"/>
        <v>16.438451339155421</v>
      </c>
      <c r="R24" s="113">
        <f>H24/J$35</f>
        <v>1000</v>
      </c>
      <c r="S24" s="105">
        <f>R24*M$35</f>
        <v>5000</v>
      </c>
      <c r="T24" s="105">
        <f>SUM(T9:T23)</f>
        <v>5040.1900000000005</v>
      </c>
      <c r="U24" s="122">
        <f>T24-S24</f>
        <v>40.190000000000509</v>
      </c>
      <c r="V24" s="115">
        <f>U24/S24</f>
        <v>8.0380000000001024E-3</v>
      </c>
      <c r="W24" s="118">
        <f t="shared" ref="W24:W29" si="17">T24/P24</f>
        <v>24.7068137254902</v>
      </c>
      <c r="X24" s="119">
        <f>W24-L24</f>
        <v>2.0247454673202441</v>
      </c>
    </row>
    <row r="25" spans="3:25" x14ac:dyDescent="0.3">
      <c r="C25" s="151" t="s">
        <v>14</v>
      </c>
      <c r="D25" s="92" t="s">
        <v>27</v>
      </c>
      <c r="E25" s="93" t="s">
        <v>15</v>
      </c>
      <c r="F25" s="145"/>
      <c r="G25" s="94" t="s">
        <v>16</v>
      </c>
      <c r="H25" s="95">
        <v>5000</v>
      </c>
      <c r="I25" s="96">
        <f t="shared" si="16"/>
        <v>7.9365079365079361E-2</v>
      </c>
      <c r="J25" s="97">
        <v>450</v>
      </c>
      <c r="K25" s="98">
        <f>H25/J25</f>
        <v>11.111111111111111</v>
      </c>
      <c r="L25" s="99">
        <v>7.6</v>
      </c>
      <c r="M25" s="49">
        <f>H25/L25</f>
        <v>657.89473684210532</v>
      </c>
      <c r="N25" s="56">
        <f>M25/K$35</f>
        <v>28.604118993135014</v>
      </c>
      <c r="O25" s="74">
        <f>N25*N$35</f>
        <v>85.812356979405038</v>
      </c>
      <c r="P25" s="74">
        <v>89</v>
      </c>
      <c r="Q25" s="75">
        <f>O25-P25</f>
        <v>-3.1876430205949617</v>
      </c>
      <c r="R25" s="81">
        <f>H25/K$35</f>
        <v>217.39130434782609</v>
      </c>
      <c r="S25" s="51">
        <f>R25*N$35</f>
        <v>652.17391304347825</v>
      </c>
      <c r="T25" s="51">
        <f>P25*7.6</f>
        <v>676.4</v>
      </c>
      <c r="U25" s="51">
        <f>T25-S25</f>
        <v>24.226086956521726</v>
      </c>
      <c r="V25" s="57">
        <f t="shared" ref="V25:V29" si="18">U25/S25</f>
        <v>3.7146666666666647E-2</v>
      </c>
      <c r="W25" s="58">
        <f t="shared" si="17"/>
        <v>7.6</v>
      </c>
      <c r="X25" s="116"/>
    </row>
    <row r="26" spans="3:25" x14ac:dyDescent="0.3">
      <c r="C26" s="151"/>
      <c r="D26" s="40" t="s">
        <v>27</v>
      </c>
      <c r="E26" s="46" t="s">
        <v>15</v>
      </c>
      <c r="F26" s="144"/>
      <c r="G26" s="44" t="s">
        <v>17</v>
      </c>
      <c r="H26" s="2">
        <v>4000</v>
      </c>
      <c r="I26" s="5">
        <f t="shared" si="16"/>
        <v>6.3492063492063489E-2</v>
      </c>
      <c r="J26" s="6">
        <v>350</v>
      </c>
      <c r="K26" s="7">
        <f>H26/J26</f>
        <v>11.428571428571429</v>
      </c>
      <c r="L26" s="6">
        <v>9</v>
      </c>
      <c r="M26" s="20">
        <f>H26/L26</f>
        <v>444.44444444444446</v>
      </c>
      <c r="N26" s="56">
        <f t="shared" ref="N26:N27" si="19">M26/K$35</f>
        <v>19.323671497584542</v>
      </c>
      <c r="O26" s="74">
        <f t="shared" ref="O26:O27" si="20">N26*N$35</f>
        <v>57.971014492753625</v>
      </c>
      <c r="P26" s="74">
        <v>59</v>
      </c>
      <c r="Q26" s="75">
        <f>O26-P26</f>
        <v>-1.0289855072463752</v>
      </c>
      <c r="R26" s="81">
        <f t="shared" ref="R26:R27" si="21">H26/K$35</f>
        <v>173.91304347826087</v>
      </c>
      <c r="S26" s="51">
        <f t="shared" ref="S26:S27" si="22">R26*N$35</f>
        <v>521.73913043478262</v>
      </c>
      <c r="T26" s="51">
        <f>P26*9</f>
        <v>531</v>
      </c>
      <c r="U26" s="51">
        <f t="shared" ref="U26:U28" si="23">T26-S26</f>
        <v>9.2608695652173765</v>
      </c>
      <c r="V26" s="57">
        <f t="shared" si="18"/>
        <v>1.7749999999999971E-2</v>
      </c>
      <c r="W26" s="58">
        <f t="shared" si="17"/>
        <v>9</v>
      </c>
      <c r="X26" s="116"/>
    </row>
    <row r="27" spans="3:25" ht="15" thickBot="1" x14ac:dyDescent="0.35">
      <c r="C27" s="151"/>
      <c r="D27" s="106" t="s">
        <v>27</v>
      </c>
      <c r="E27" s="123" t="s">
        <v>15</v>
      </c>
      <c r="F27" s="146"/>
      <c r="G27" s="124" t="s">
        <v>33</v>
      </c>
      <c r="H27" s="125">
        <v>2000</v>
      </c>
      <c r="I27" s="109">
        <f t="shared" si="16"/>
        <v>3.1746031746031744E-2</v>
      </c>
      <c r="J27" s="126">
        <v>300</v>
      </c>
      <c r="K27" s="127">
        <f>H27/J27</f>
        <v>6.666666666666667</v>
      </c>
      <c r="L27" s="128">
        <v>8</v>
      </c>
      <c r="M27" s="111">
        <f>H27/L27</f>
        <v>250</v>
      </c>
      <c r="N27" s="56">
        <f t="shared" si="19"/>
        <v>10.869565217391305</v>
      </c>
      <c r="O27" s="74">
        <f t="shared" si="20"/>
        <v>32.608695652173914</v>
      </c>
      <c r="P27" s="74">
        <v>30</v>
      </c>
      <c r="Q27" s="75">
        <f>O27-P27</f>
        <v>2.608695652173914</v>
      </c>
      <c r="R27" s="81">
        <f t="shared" si="21"/>
        <v>86.956521739130437</v>
      </c>
      <c r="S27" s="51">
        <f t="shared" si="22"/>
        <v>260.86956521739131</v>
      </c>
      <c r="T27" s="51">
        <f>P27*8</f>
        <v>240</v>
      </c>
      <c r="U27" s="51">
        <f t="shared" si="23"/>
        <v>-20.869565217391312</v>
      </c>
      <c r="V27" s="57">
        <f t="shared" si="18"/>
        <v>-8.0000000000000029E-2</v>
      </c>
      <c r="W27" s="58">
        <f t="shared" si="17"/>
        <v>8</v>
      </c>
      <c r="X27" s="116"/>
      <c r="Y27" t="s">
        <v>73</v>
      </c>
    </row>
    <row r="28" spans="3:25" s="4" customFormat="1" ht="15" thickBot="1" x14ac:dyDescent="0.35">
      <c r="C28" s="24" t="s">
        <v>18</v>
      </c>
      <c r="D28" s="25"/>
      <c r="E28" s="25"/>
      <c r="F28" s="137"/>
      <c r="G28" s="129"/>
      <c r="H28" s="130">
        <f>SUM(H25:H27)</f>
        <v>11000</v>
      </c>
      <c r="I28" s="102">
        <f t="shared" si="16"/>
        <v>0.17460317460317459</v>
      </c>
      <c r="J28" s="131">
        <f>H28/K28</f>
        <v>376.63043478260869</v>
      </c>
      <c r="K28" s="132">
        <f>SUM(K25:K27)</f>
        <v>29.206349206349206</v>
      </c>
      <c r="L28" s="28">
        <f>H28/M28</f>
        <v>8.1340540540540545</v>
      </c>
      <c r="M28" s="133">
        <f>SUM(M25:M27)</f>
        <v>1352.3391812865498</v>
      </c>
      <c r="N28" s="59">
        <f>M28/K$35</f>
        <v>58.797355708110857</v>
      </c>
      <c r="O28" s="60">
        <f>N28*N$35</f>
        <v>176.39206712433258</v>
      </c>
      <c r="P28" s="60">
        <f>SUM(P25:P27)</f>
        <v>178</v>
      </c>
      <c r="Q28" s="61">
        <f>O28-P28</f>
        <v>-1.6079328756674158</v>
      </c>
      <c r="R28" s="113">
        <f>H28/K$35</f>
        <v>478.26086956521738</v>
      </c>
      <c r="S28" s="62">
        <f>R28*N$35</f>
        <v>1434.782608695652</v>
      </c>
      <c r="T28" s="62">
        <f>SUM(T25:T27)</f>
        <v>1447.4</v>
      </c>
      <c r="U28" s="62">
        <f t="shared" si="23"/>
        <v>12.617391304348075</v>
      </c>
      <c r="V28" s="63">
        <f t="shared" si="18"/>
        <v>8.7939393939395691E-3</v>
      </c>
      <c r="W28" s="64">
        <f t="shared" si="17"/>
        <v>8.131460674157303</v>
      </c>
      <c r="X28" s="65"/>
    </row>
    <row r="29" spans="3:25" s="4" customFormat="1" ht="15" thickBot="1" x14ac:dyDescent="0.35">
      <c r="C29" s="22"/>
      <c r="D29" s="21"/>
      <c r="E29" s="9"/>
      <c r="F29" s="138"/>
      <c r="G29" s="9"/>
      <c r="H29" s="23">
        <f>SUM(H8+H24+H28)</f>
        <v>63000</v>
      </c>
      <c r="I29" s="11">
        <f t="shared" si="16"/>
        <v>1</v>
      </c>
      <c r="J29" s="10">
        <f>H29/K29</f>
        <v>468.18623053954752</v>
      </c>
      <c r="K29" s="12">
        <f>K8+K24+K28</f>
        <v>134.56183862433863</v>
      </c>
      <c r="L29" s="10">
        <f>H29/M29</f>
        <v>19.77572292204534</v>
      </c>
      <c r="M29" s="13">
        <f>M8+M24+M28</f>
        <v>3185.7242462559802</v>
      </c>
      <c r="N29" s="76">
        <f>N28+N24+N8</f>
        <v>117.93880941680217</v>
      </c>
      <c r="O29" s="76">
        <f>O28+O24+O8</f>
        <v>472.09933566778909</v>
      </c>
      <c r="P29" s="77">
        <f>P28+P24+P8</f>
        <v>472</v>
      </c>
      <c r="Q29" s="134">
        <f>O29-P29</f>
        <v>9.9335667789091531E-2</v>
      </c>
      <c r="R29" s="82">
        <f>H29/31</f>
        <v>2032.258064516129</v>
      </c>
      <c r="S29" s="83">
        <f>R29*M$35</f>
        <v>10161.290322580646</v>
      </c>
      <c r="T29" s="83">
        <f>T28+T24+T8</f>
        <v>10529.43</v>
      </c>
      <c r="U29" s="83">
        <f>T29-S29</f>
        <v>368.13967741935448</v>
      </c>
      <c r="V29" s="114">
        <f t="shared" si="18"/>
        <v>3.6229619047619011E-2</v>
      </c>
      <c r="W29" s="120">
        <f t="shared" si="17"/>
        <v>22.308114406779662</v>
      </c>
      <c r="X29" s="121">
        <f>W29-L29</f>
        <v>2.5323914847343225</v>
      </c>
    </row>
    <row r="31" spans="3:25" x14ac:dyDescent="0.3">
      <c r="J31" s="47"/>
      <c r="L31" s="47"/>
      <c r="M31" s="3"/>
      <c r="N31" s="52"/>
      <c r="V31" s="51"/>
    </row>
    <row r="32" spans="3:25" x14ac:dyDescent="0.3">
      <c r="G32" s="47"/>
    </row>
    <row r="33" spans="3:19" x14ac:dyDescent="0.3">
      <c r="H33" s="47"/>
    </row>
    <row r="34" spans="3:19" x14ac:dyDescent="0.3">
      <c r="C34" s="31" t="s">
        <v>58</v>
      </c>
      <c r="D34" s="31" t="s">
        <v>36</v>
      </c>
      <c r="E34" t="s">
        <v>57</v>
      </c>
      <c r="J34" t="s">
        <v>54</v>
      </c>
      <c r="K34" t="s">
        <v>55</v>
      </c>
      <c r="L34" s="48"/>
      <c r="M34" t="s">
        <v>59</v>
      </c>
      <c r="N34" t="s">
        <v>56</v>
      </c>
      <c r="Q34" s="148"/>
      <c r="R34" s="42" t="s">
        <v>61</v>
      </c>
      <c r="S34" s="42" t="s">
        <v>62</v>
      </c>
    </row>
    <row r="35" spans="3:19" x14ac:dyDescent="0.3">
      <c r="C35" s="53">
        <v>46204</v>
      </c>
      <c r="D35">
        <v>2</v>
      </c>
      <c r="E35">
        <v>128</v>
      </c>
      <c r="J35">
        <v>31</v>
      </c>
      <c r="K35">
        <v>23</v>
      </c>
      <c r="M35">
        <v>5</v>
      </c>
      <c r="N35">
        <v>3</v>
      </c>
      <c r="Q35" s="148" t="s">
        <v>44</v>
      </c>
      <c r="R35" s="149">
        <f>(H3+H5+H9+H10+H11+H13+H16+H15)/J35*M35</f>
        <v>4677.4193548387102</v>
      </c>
      <c r="S35" s="149">
        <f>T3+T5+T9+T10+T11+T13+T16+T15</f>
        <v>4865.3999999999996</v>
      </c>
    </row>
    <row r="36" spans="3:19" x14ac:dyDescent="0.3">
      <c r="C36" s="53">
        <v>46205</v>
      </c>
      <c r="D36">
        <v>6</v>
      </c>
      <c r="E36">
        <v>107</v>
      </c>
      <c r="Q36" s="148" t="s">
        <v>45</v>
      </c>
      <c r="R36" s="149">
        <f>(H7+H17+H18+H19+H20+H21)/J35*M35</f>
        <v>3548.3870967741932</v>
      </c>
      <c r="S36" s="149">
        <f>T7+T17+T19+T20+T21+T22+T23</f>
        <v>4216.630000000001</v>
      </c>
    </row>
    <row r="37" spans="3:19" x14ac:dyDescent="0.3">
      <c r="C37" s="53">
        <v>46206</v>
      </c>
      <c r="D37">
        <v>8</v>
      </c>
      <c r="E37">
        <v>110</v>
      </c>
      <c r="Q37" s="148" t="s">
        <v>46</v>
      </c>
      <c r="R37" s="41">
        <f>(H25+H26+H27)/K35*N35</f>
        <v>1434.782608695652</v>
      </c>
      <c r="S37" s="149">
        <f>T25+T26+T27</f>
        <v>1447.4</v>
      </c>
    </row>
    <row r="38" spans="3:19" x14ac:dyDescent="0.3">
      <c r="C38" s="53">
        <v>46207</v>
      </c>
      <c r="D38">
        <v>2</v>
      </c>
      <c r="E38">
        <v>72</v>
      </c>
      <c r="Q38" s="148" t="s">
        <v>60</v>
      </c>
      <c r="R38" s="42"/>
      <c r="S38" s="149">
        <f>SUM(S35:S37)</f>
        <v>10529.43</v>
      </c>
    </row>
    <row r="39" spans="3:19" x14ac:dyDescent="0.3">
      <c r="C39" s="53">
        <v>46208</v>
      </c>
      <c r="D39">
        <v>0</v>
      </c>
      <c r="E39">
        <v>73</v>
      </c>
    </row>
    <row r="40" spans="3:19" x14ac:dyDescent="0.3">
      <c r="C40" s="53">
        <v>46209</v>
      </c>
      <c r="D40">
        <v>1</v>
      </c>
      <c r="E40">
        <v>108</v>
      </c>
    </row>
    <row r="41" spans="3:19" x14ac:dyDescent="0.3">
      <c r="C41" s="53">
        <v>46210</v>
      </c>
      <c r="D41">
        <v>0</v>
      </c>
      <c r="E41">
        <v>133</v>
      </c>
    </row>
    <row r="42" spans="3:19" x14ac:dyDescent="0.3">
      <c r="C42" s="53">
        <v>46211</v>
      </c>
      <c r="D42">
        <v>16</v>
      </c>
      <c r="E42">
        <v>131</v>
      </c>
    </row>
    <row r="43" spans="3:19" x14ac:dyDescent="0.3">
      <c r="C43" s="53">
        <v>46212</v>
      </c>
      <c r="D43">
        <v>32</v>
      </c>
      <c r="E43">
        <v>149</v>
      </c>
    </row>
    <row r="44" spans="3:19" x14ac:dyDescent="0.3">
      <c r="C44" s="53">
        <v>46213</v>
      </c>
      <c r="D44">
        <v>16</v>
      </c>
    </row>
    <row r="45" spans="3:19" x14ac:dyDescent="0.3">
      <c r="C45" s="53">
        <v>46214</v>
      </c>
      <c r="D45"/>
    </row>
    <row r="46" spans="3:19" x14ac:dyDescent="0.3">
      <c r="C46" s="53">
        <v>46215</v>
      </c>
      <c r="D46"/>
    </row>
    <row r="47" spans="3:19" x14ac:dyDescent="0.3">
      <c r="C47" s="53">
        <v>46216</v>
      </c>
      <c r="D47"/>
    </row>
    <row r="48" spans="3:19" x14ac:dyDescent="0.3">
      <c r="C48" s="53">
        <v>46217</v>
      </c>
      <c r="D48"/>
    </row>
    <row r="49" spans="3:4" x14ac:dyDescent="0.3">
      <c r="C49" s="53">
        <v>46218</v>
      </c>
      <c r="D49"/>
    </row>
    <row r="50" spans="3:4" x14ac:dyDescent="0.3">
      <c r="C50" s="53">
        <v>46219</v>
      </c>
      <c r="D50"/>
    </row>
    <row r="51" spans="3:4" x14ac:dyDescent="0.3">
      <c r="C51" s="53">
        <v>46220</v>
      </c>
      <c r="D51"/>
    </row>
    <row r="52" spans="3:4" x14ac:dyDescent="0.3">
      <c r="C52" s="53">
        <v>46221</v>
      </c>
      <c r="D52"/>
    </row>
    <row r="53" spans="3:4" x14ac:dyDescent="0.3">
      <c r="C53" s="53">
        <v>46222</v>
      </c>
      <c r="D53"/>
    </row>
    <row r="54" spans="3:4" x14ac:dyDescent="0.3">
      <c r="C54" s="53">
        <v>46223</v>
      </c>
      <c r="D54"/>
    </row>
    <row r="55" spans="3:4" x14ac:dyDescent="0.3">
      <c r="C55" s="53">
        <v>46224</v>
      </c>
      <c r="D55"/>
    </row>
    <row r="56" spans="3:4" x14ac:dyDescent="0.3">
      <c r="C56" s="53">
        <v>46225</v>
      </c>
      <c r="D56"/>
    </row>
    <row r="57" spans="3:4" x14ac:dyDescent="0.3">
      <c r="C57" s="53">
        <v>46226</v>
      </c>
      <c r="D57"/>
    </row>
    <row r="58" spans="3:4" x14ac:dyDescent="0.3">
      <c r="C58" s="53">
        <v>46227</v>
      </c>
      <c r="D58"/>
    </row>
    <row r="59" spans="3:4" x14ac:dyDescent="0.3">
      <c r="C59" s="53">
        <v>46228</v>
      </c>
      <c r="D59"/>
    </row>
    <row r="60" spans="3:4" x14ac:dyDescent="0.3">
      <c r="C60" s="53">
        <v>46229</v>
      </c>
      <c r="D60"/>
    </row>
    <row r="61" spans="3:4" x14ac:dyDescent="0.3">
      <c r="C61" s="53">
        <v>46230</v>
      </c>
      <c r="D61"/>
    </row>
    <row r="62" spans="3:4" x14ac:dyDescent="0.3">
      <c r="C62" s="53">
        <v>46231</v>
      </c>
      <c r="D62"/>
    </row>
    <row r="63" spans="3:4" x14ac:dyDescent="0.3">
      <c r="C63" s="53">
        <v>46232</v>
      </c>
      <c r="D63"/>
    </row>
    <row r="64" spans="3:4" x14ac:dyDescent="0.3">
      <c r="C64" s="53">
        <v>46233</v>
      </c>
      <c r="D64"/>
    </row>
    <row r="65" spans="3:5" x14ac:dyDescent="0.3">
      <c r="C65" s="53">
        <v>46234</v>
      </c>
      <c r="D65"/>
    </row>
    <row r="66" spans="3:5" x14ac:dyDescent="0.3">
      <c r="D66">
        <f>SUM(D35:D65)</f>
        <v>83</v>
      </c>
      <c r="E66">
        <f>SUM(E35:E65)</f>
        <v>1011</v>
      </c>
    </row>
  </sheetData>
  <mergeCells count="46">
    <mergeCell ref="X11:X12"/>
    <mergeCell ref="X13:X14"/>
    <mergeCell ref="Y13:Y14"/>
    <mergeCell ref="Y11:Y12"/>
    <mergeCell ref="U11:U12"/>
    <mergeCell ref="U13:U14"/>
    <mergeCell ref="V11:V12"/>
    <mergeCell ref="V13:V14"/>
    <mergeCell ref="W13:W14"/>
    <mergeCell ref="W11:W12"/>
    <mergeCell ref="R11:R12"/>
    <mergeCell ref="S11:S12"/>
    <mergeCell ref="R13:R14"/>
    <mergeCell ref="S13:S14"/>
    <mergeCell ref="T11:T12"/>
    <mergeCell ref="T13:T14"/>
    <mergeCell ref="N11:N12"/>
    <mergeCell ref="O11:O12"/>
    <mergeCell ref="P11:P12"/>
    <mergeCell ref="Q11:Q12"/>
    <mergeCell ref="N13:N14"/>
    <mergeCell ref="O13:O14"/>
    <mergeCell ref="P13:P14"/>
    <mergeCell ref="Q13:Q14"/>
    <mergeCell ref="K11:K12"/>
    <mergeCell ref="L11:L12"/>
    <mergeCell ref="M11:M12"/>
    <mergeCell ref="H13:H14"/>
    <mergeCell ref="I13:I14"/>
    <mergeCell ref="J13:J14"/>
    <mergeCell ref="K13:K14"/>
    <mergeCell ref="L13:L14"/>
    <mergeCell ref="M13:M14"/>
    <mergeCell ref="C25:C27"/>
    <mergeCell ref="C3:C7"/>
    <mergeCell ref="H11:H12"/>
    <mergeCell ref="I11:I12"/>
    <mergeCell ref="J11:J12"/>
    <mergeCell ref="D11:D12"/>
    <mergeCell ref="E11:E12"/>
    <mergeCell ref="C11:C12"/>
    <mergeCell ref="E13:E14"/>
    <mergeCell ref="D13:D14"/>
    <mergeCell ref="C13:C14"/>
    <mergeCell ref="E5:E6"/>
    <mergeCell ref="E3:E4"/>
  </mergeCells>
  <phoneticPr fontId="10" type="noConversion"/>
  <conditionalFormatting sqref="Q9:Q11 Q13 Q15:Q22">
    <cfRule type="colorScale" priority="9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23:Q24 Q8 Q29">
    <cfRule type="colorScale" priority="1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25:Q28">
    <cfRule type="colorScale" priority="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V3:V11 V13 V15:V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5:V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X11 X13 X15:X24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X25:X27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X2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PianoLuglio26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Maccabelli</dc:creator>
  <cp:lastModifiedBy>Chiara Longaretti</cp:lastModifiedBy>
  <dcterms:created xsi:type="dcterms:W3CDTF">2026-05-27T14:26:55Z</dcterms:created>
  <dcterms:modified xsi:type="dcterms:W3CDTF">2026-07-10T12:18:16Z</dcterms:modified>
</cp:coreProperties>
</file>