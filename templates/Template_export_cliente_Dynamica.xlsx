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4a4d6a5e3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 Cliente" sheetId="1" r:id="Rb0134f3814b44083"/>
    <x:sheet xmlns:r="http://schemas.openxmlformats.org/officeDocument/2006/relationships" name="Dati" sheetId="2" r:id="R3d8443851cf74fb2"/>
    <x:sheet xmlns:r="http://schemas.openxmlformats.org/officeDocument/2006/relationships" name="Config" sheetId="3" r:id="R820f004a438a45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dd/mm/yyyy hh:mm"/>
    <x:numFmt numFmtId="202" formatCode="#,##0.00 [$€-it-IT]"/>
    <x:numFmt numFmtId="203" formatCode="0.0%"/>
    <x:numFmt numFmtId="204" formatCode="0.0"/>
    <x:numFmt numFmtId="205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3F4F6"/>
      </x:patternFill>
    </x:fill>
    <x:fill>
      <x:patternFill patternType="solid">
        <x:fgColor rgb="FF0F172A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</x:fills>
  <x:borders count="3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/>
    <x:xf numFmtId="0" fontId="1" fillId="2" borderId="8" xfId="0" applyNumberFormat="1" applyFont="1" applyFill="1" applyBorder="1" applyAlignment="1">
      <x:alignment horizontal="center"/>
    </x:xf>
    <x:xf numFmtId="0" fontId="1" fillId="2" borderId="9" xfId="0" applyNumberFormat="1" applyFont="1" applyFill="1" applyBorder="1" applyAlignment="1">
      <x:alignment horizontal="center"/>
    </x:xf>
    <x:xf numFmtId="0" fontId="2" fillId="3" borderId="10" xfId="0" applyNumberFormat="1" applyFont="1" applyFill="1" applyBorder="1"/>
    <x:xf numFmtId="0" fontId="0" fillId="0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5" xfId="0" applyNumberFormat="1" applyFont="1" applyFill="1" applyBorder="1"/>
    <x:xf numFmtId="200" fontId="0" fillId="0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1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5" fillId="2" borderId="14" xfId="0" applyNumberFormat="1" applyFont="1" applyFill="1" applyBorder="1" applyAlignment="1">
      <x:alignment horizontal="center" vertical="center" wrapText="1"/>
    </x:xf>
    <x:xf numFmtId="0" fontId="5" fillId="2" borderId="15" xfId="0" applyNumberFormat="1" applyFont="1" applyFill="1" applyBorder="1" applyAlignment="1">
      <x:alignment horizontal="center" vertical="center" wrapText="1"/>
    </x:xf>
    <x:xf numFmtId="0" fontId="5" fillId="2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0" fontId="1" fillId="2" borderId="19" xfId="0" applyNumberFormat="1" applyFont="1" applyFill="1" applyBorder="1" applyAlignment="1">
      <x:alignment vertical="center"/>
    </x:xf>
    <x:xf numFmtId="0" fontId="1" fillId="2" borderId="20" xfId="0" applyNumberFormat="1" applyFont="1" applyFill="1" applyBorder="1" applyAlignment="1">
      <x:alignment vertical="center"/>
    </x:xf>
    <x:xf numFmtId="0" fontId="1" fillId="2" borderId="21" xfId="0" applyNumberFormat="1" applyFont="1" applyFill="1" applyBorder="1" applyAlignment="1">
      <x:alignment vertical="center"/>
    </x:xf>
    <x:xf numFmtId="0" fontId="5" fillId="2" borderId="22" xfId="0" applyNumberFormat="1" applyFont="1" applyFill="1" applyBorder="1" applyAlignment="1">
      <x:alignment horizontal="center" vertical="center" wrapText="1"/>
    </x:xf>
    <x:xf numFmtId="0" fontId="5" fillId="2" borderId="23" xfId="0" applyNumberFormat="1" applyFont="1" applyFill="1" applyBorder="1" applyAlignment="1">
      <x:alignment horizontal="center" vertical="center" wrapText="1"/>
    </x:xf>
    <x:xf numFmtId="0" fontId="5" fillId="2" borderId="24" xfId="0" applyNumberFormat="1" applyFont="1" applyFill="1" applyBorder="1" applyAlignment="1">
      <x:alignment horizontal="center" vertical="center" wrapText="1"/>
    </x:xf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1" fillId="2" borderId="27" xfId="0" applyNumberFormat="1" applyFont="1" applyFill="1" applyBorder="1" applyAlignment="1">
      <x:alignment vertical="center"/>
    </x:xf>
    <x:xf numFmtId="0" fontId="1" fillId="2" borderId="28" xfId="0" applyNumberFormat="1" applyFont="1" applyFill="1" applyBorder="1" applyAlignment="1">
      <x:alignment vertical="center"/>
    </x:xf>
    <x:xf numFmtId="0" fontId="1" fillId="2" borderId="29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1" fillId="2" borderId="2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  <x:xf numFmtId="202" fontId="1" fillId="2" borderId="28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 wrapText="1"/>
    </x:xf>
    <x:xf numFmtId="203" fontId="1" fillId="2" borderId="2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 wrapText="1"/>
    </x:xf>
    <x:xf numFmtId="203" fontId="1" fillId="2" borderId="28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 wrapText="1"/>
    </x:xf>
    <x:xf numFmtId="204" fontId="1" fillId="2" borderId="20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 wrapText="1"/>
    </x:xf>
    <x:xf numFmtId="204" fontId="1" fillId="2" borderId="28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color rgb="FF052E16"/>
      </x:font>
      <x:fill>
        <x:patternFill>
          <x:bgColor rgb="FF22C55E"/>
        </x:patternFill>
      </x:fill>
    </x:dxf>
    <x:dxf>
      <x:font>
        <x:color rgb="FFFFFFFF"/>
      </x:font>
      <x:fill>
        <x:patternFill>
          <x:bgColor rgb="FFEF4444"/>
        </x:patternFill>
      </x:fill>
    </x:dxf>
    <x:dxf>
      <x:font>
        <x:color rgb="FF052E16"/>
      </x:font>
      <x:fill>
        <x:patternFill>
          <x:bgColor rgb="FF22C55E"/>
        </x:patternFill>
      </x:fill>
    </x:dxf>
    <x:dxf>
      <x:font>
        <x:color rgb="FF7C2D12"/>
      </x:font>
      <x:fill>
        <x:patternFill>
          <x:bgColor rgb="FFFB923C"/>
        </x:patternFill>
      </x:fill>
    </x:dxf>
    <x:dxf>
      <x:font>
        <x:color rgb="FFDC2626"/>
      </x:font>
    </x:dxf>
    <x:dxf>
      <x:font>
        <x:color rgb="FF7F1D1D"/>
      </x:font>
      <x:fill>
        <x:patternFill patternType="solid">
          <x:bgColor rgb="FFF87171"/>
        </x:patternFill>
      </x:fill>
    </x:dxf>
    <x:dxf>
      <x:font>
        <x:color rgb="FF78350F"/>
      </x:font>
      <x:fill>
        <x:patternFill patternType="solid">
          <x:bgColor rgb="FFFDE68A"/>
        </x:patternFill>
      </x:fill>
    </x:dxf>
    <x:dxf>
      <x:font>
        <x:color rgb="FF365314"/>
      </x:font>
      <x:fill>
        <x:patternFill patternType="solid">
          <x:bgColor rgb="FFD9F99D"/>
        </x:patternFill>
      </x:fill>
    </x:dxf>
    <x:dxf>
      <x:font>
        <x:color rgb="FF14532D"/>
      </x:font>
      <x:fill>
        <x:patternFill patternType="solid">
          <x:bgColor rgb="FF86EFA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876e863f14fc5" /><Relationship Type="http://schemas.openxmlformats.org/officeDocument/2006/relationships/theme" Target="/xl/theme/theme1.xml" Id="R5e88e2161d9c410c" /><Relationship Type="http://schemas.openxmlformats.org/officeDocument/2006/relationships/sharedStrings" Target="/xl/sharedStrings.xml" Id="Rd0cf7808abed4ca3" /><Relationship Type="http://schemas.openxmlformats.org/officeDocument/2006/relationships/worksheet" Target="/xl/worksheets/sheet1.xml" Id="Rb0134f3814b44083" /><Relationship Type="http://schemas.openxmlformats.org/officeDocument/2006/relationships/worksheet" Target="/xl/worksheets/sheet2.xml" Id="R3d8443851cf74fb2" /><Relationship Type="http://schemas.openxmlformats.org/officeDocument/2006/relationships/worksheet" Target="/xl/worksheets/sheet3.xml" Id="R820f004a438a45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38" hidden="0" customWidth="1"/>
    <x:col min="6" max="6" width="16" hidden="0" customWidth="1"/>
    <x:col min="7" max="7" width="8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5" hidden="0" customWidth="1"/>
    <x:col min="13" max="13" width="17" hidden="0" customWidth="1"/>
    <x:col min="14" max="14" width="13" hidden="0" customWidth="1"/>
    <x:col min="15" max="15" width="12" hidden="0" customWidth="1"/>
    <x:col min="16" max="16" width="17" hidden="0" customWidth="1"/>
    <x:col min="17" max="17" width="18" hidden="0" customWidth="1"/>
    <x:col min="18" max="18" width="15" hidden="0" customWidth="1"/>
    <x:col min="19" max="19" width="13" hidden="0" customWidth="1"/>
    <x:col min="20" max="20" width="13" hidden="0" customWidth="1"/>
    <x:col min="21" max="21" width="13" hidden="0" customWidth="1"/>
    <x:col min="22" max="22" width="12" hidden="0" customWidth="1"/>
    <x:col min="23" max="23" width="38" hidden="0" customWidth="1"/>
  </x:cols>
  <x:sheetData>
    <x:row r="1" ht="32" customHeight="1">
      <x:c r="A1" s="48" t="str">
        <x:v>REPORT PERFORMANCE — DYNAMICA RETAIL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</x:row>
    <x:row r="2" ht="22" customHeight="1">
      <x:c r="A2" s="55" t="str">
        <x:f>IF(OR(Config!B3="",Config!B4=""),"Periodo non ancora valorizzato","Periodo: "&amp;TEXT(Config!B3,"dd/mm/yyyy")&amp;" - "&amp;TEXT(Config!B4,"dd/mm/yyyy")&amp;"  |  Ultimo aggiornamento: "&amp;IF(Config!B7="","-",TEXT(Config!B7,"dd/mm/yyyy hh:mm")))</x:f>
        <x:v>Periodo non ancora valorizzato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</x:row>
    <x:row r="4" ht="42" customHeight="1">
      <x:c r="A4" s="70" t="str">
        <x:v>Funnel</x:v>
      </x:c>
      <x:c r="B4" s="71" t="str">
        <x:v>Piattaforma</x:v>
      </x:c>
      <x:c r="C4" s="71" t="str">
        <x:v>Canale</x:v>
      </x:c>
      <x:c r="D4" s="71" t="str">
        <x:v>ID Campagna</x:v>
      </x:c>
      <x:c r="E4" s="71" t="str">
        <x:v>Campagna</x:v>
      </x:c>
      <x:c r="F4" s="71" t="str">
        <x:v>Investimento Media</x:v>
      </x:c>
      <x:c r="G4" s="71" t="str">
        <x:v>%</x:v>
      </x:c>
      <x:c r="H4" s="71" t="str">
        <x:v>CPP medio</x:v>
      </x:c>
      <x:c r="I4" s="71" t="str">
        <x:v>Stima Pratiche</x:v>
      </x:c>
      <x:c r="J4" s="71" t="str">
        <x:v>CPL target</x:v>
      </x:c>
      <x:c r="K4" s="71" t="str">
        <x:v>Stima Lead</x:v>
      </x:c>
      <x:c r="L4" s="71" t="str">
        <x:v>Stima lead giornaliera</x:v>
      </x:c>
      <x:c r="M4" s="71" t="str">
        <x:v>Stima lead progressiva</x:v>
      </x:c>
      <x:c r="N4" s="71" t="str">
        <x:v>Lead effettive</x:v>
      </x:c>
      <x:c r="O4" s="71" t="str">
        <x:v>Delta lead</x:v>
      </x:c>
      <x:c r="P4" s="71" t="str">
        <x:v>Stima spending giornaliera</x:v>
      </x:c>
      <x:c r="Q4" s="71" t="str">
        <x:v>Stima spending progressiva</x:v>
      </x:c>
      <x:c r="R4" s="71" t="str">
        <x:v>Speso effettivo</x:v>
      </x:c>
      <x:c r="S4" s="71" t="str">
        <x:v>Delta speso</x:v>
      </x:c>
      <x:c r="T4" s="71" t="str">
        <x:v>% Delta delivery</x:v>
      </x:c>
      <x:c r="U4" s="71" t="str">
        <x:v>CPL effettivo</x:v>
      </x:c>
      <x:c r="V4" s="71" t="str">
        <x:v>Delta CPL</x:v>
      </x:c>
      <x:c r="W4" s="72" t="str">
        <x:v>Action</x:v>
      </x:c>
    </x:row>
    <x:row r="5" ht="21" customHeight="1">
      <x:c r="A5" s="93"/>
      <x:c r="B5" s="94"/>
      <x:c r="C5" s="94"/>
      <x:c r="D5" s="111"/>
      <x:c r="E5" s="94"/>
      <x:c r="F5" s="99"/>
      <x:c r="G5" s="103" t="str">
        <x:f>IF(F5="","",IFERROR(F5/$F$35,0))</x:f>
      </x:c>
      <x:c r="H5" s="99"/>
      <x:c r="I5" s="107" t="str">
        <x:f>IF(OR(F5="",H5=""),"",IFERROR(F5/H5,""))</x:f>
      </x:c>
      <x:c r="J5" s="99"/>
      <x:c r="K5" s="107" t="str">
        <x:f>IF(OR(F5="",J5=""),"",IFERROR(F5/J5,""))</x:f>
      </x:c>
      <x:c r="L5" s="107" t="str">
        <x:f>IF(K5="","",IFERROR(K5/Config!$B$5,""))</x:f>
      </x:c>
      <x:c r="M5" s="107" t="str">
        <x:f>IF(L5="","",IFERROR(L5*Config!$B$6,""))</x:f>
      </x:c>
      <x:c r="N5" s="107"/>
      <x:c r="O5" s="107" t="str">
        <x:f>IF(OR(M5="",N5=""),"",M5-N5)</x:f>
      </x:c>
      <x:c r="P5" s="99" t="str">
        <x:f>IF(F5="","",IFERROR(F5/Config!$B$5,""))</x:f>
      </x:c>
      <x:c r="Q5" s="99" t="str">
        <x:f>IF(P5="","",IFERROR(P5*Config!$B$6,""))</x:f>
      </x:c>
      <x:c r="R5" s="99"/>
      <x:c r="S5" s="99" t="str">
        <x:f>IF(OR(R5="",Q5=""),"",R5-Q5)</x:f>
      </x:c>
      <x:c r="T5" s="103" t="str">
        <x:f>IFERROR(S5/Q5,"")</x:f>
      </x:c>
      <x:c r="U5" s="99" t="str">
        <x:f>IFERROR(R5/N5,"")</x:f>
      </x:c>
      <x:c r="V5" s="99" t="str">
        <x:f>IF(OR(U5="",J5=""),"",U5-J5)</x:f>
      </x:c>
      <x:c r="W5" s="95"/>
    </x:row>
    <x:row r="6" ht="21" customHeight="1">
      <x:c r="A6" s="93"/>
      <x:c r="B6" s="94"/>
      <x:c r="C6" s="94"/>
      <x:c r="D6" s="111"/>
      <x:c r="E6" s="94"/>
      <x:c r="F6" s="99"/>
      <x:c r="G6" s="103" t="str">
        <x:f>IF(F6="","",IFERROR(F6/$F$35,0))</x:f>
      </x:c>
      <x:c r="H6" s="99"/>
      <x:c r="I6" s="107" t="str">
        <x:f>IF(OR(F6="",H6=""),"",IFERROR(F6/H6,""))</x:f>
      </x:c>
      <x:c r="J6" s="99"/>
      <x:c r="K6" s="107" t="str">
        <x:f>IF(OR(F6="",J6=""),"",IFERROR(F6/J6,""))</x:f>
      </x:c>
      <x:c r="L6" s="107" t="str">
        <x:f>IF(K6="","",IFERROR(K6/Config!$B$5,""))</x:f>
      </x:c>
      <x:c r="M6" s="107" t="str">
        <x:f>IF(L6="","",IFERROR(L6*Config!$B$6,""))</x:f>
      </x:c>
      <x:c r="N6" s="107"/>
      <x:c r="O6" s="107" t="str">
        <x:f>IF(OR(M6="",N6=""),"",M6-N6)</x:f>
      </x:c>
      <x:c r="P6" s="99" t="str">
        <x:f>IF(F6="","",IFERROR(F6/Config!$B$5,""))</x:f>
      </x:c>
      <x:c r="Q6" s="99" t="str">
        <x:f>IF(P6="","",IFERROR(P6*Config!$B$6,""))</x:f>
      </x:c>
      <x:c r="R6" s="99"/>
      <x:c r="S6" s="99" t="str">
        <x:f>IF(OR(R6="",Q6=""),"",R6-Q6)</x:f>
      </x:c>
      <x:c r="T6" s="103" t="str">
        <x:f>IFERROR(S6/Q6,"")</x:f>
      </x:c>
      <x:c r="U6" s="99" t="str">
        <x:f>IFERROR(R6/N6,"")</x:f>
      </x:c>
      <x:c r="V6" s="99" t="str">
        <x:f>IF(OR(U6="",J6=""),"",U6-J6)</x:f>
      </x:c>
      <x:c r="W6" s="95"/>
    </x:row>
    <x:row r="7" ht="21" customHeight="1">
      <x:c r="A7" s="93"/>
      <x:c r="B7" s="94"/>
      <x:c r="C7" s="94"/>
      <x:c r="D7" s="111"/>
      <x:c r="E7" s="94"/>
      <x:c r="F7" s="99"/>
      <x:c r="G7" s="103" t="str">
        <x:f>IF(F7="","",IFERROR(F7/$F$35,0))</x:f>
      </x:c>
      <x:c r="H7" s="99"/>
      <x:c r="I7" s="107" t="str">
        <x:f>IF(OR(F7="",H7=""),"",IFERROR(F7/H7,""))</x:f>
      </x:c>
      <x:c r="J7" s="99"/>
      <x:c r="K7" s="107" t="str">
        <x:f>IF(OR(F7="",J7=""),"",IFERROR(F7/J7,""))</x:f>
      </x:c>
      <x:c r="L7" s="107" t="str">
        <x:f>IF(K7="","",IFERROR(K7/Config!$B$5,""))</x:f>
      </x:c>
      <x:c r="M7" s="107" t="str">
        <x:f>IF(L7="","",IFERROR(L7*Config!$B$6,""))</x:f>
      </x:c>
      <x:c r="N7" s="107"/>
      <x:c r="O7" s="107" t="str">
        <x:f>IF(OR(M7="",N7=""),"",M7-N7)</x:f>
      </x:c>
      <x:c r="P7" s="99" t="str">
        <x:f>IF(F7="","",IFERROR(F7/Config!$B$5,""))</x:f>
      </x:c>
      <x:c r="Q7" s="99" t="str">
        <x:f>IF(P7="","",IFERROR(P7*Config!$B$6,""))</x:f>
      </x:c>
      <x:c r="R7" s="99"/>
      <x:c r="S7" s="99" t="str">
        <x:f>IF(OR(R7="",Q7=""),"",R7-Q7)</x:f>
      </x:c>
      <x:c r="T7" s="103" t="str">
        <x:f>IFERROR(S7/Q7,"")</x:f>
      </x:c>
      <x:c r="U7" s="99" t="str">
        <x:f>IFERROR(R7/N7,"")</x:f>
      </x:c>
      <x:c r="V7" s="99" t="str">
        <x:f>IF(OR(U7="",J7=""),"",U7-J7)</x:f>
      </x:c>
      <x:c r="W7" s="95"/>
    </x:row>
    <x:row r="8" ht="21" customHeight="1">
      <x:c r="A8" s="93"/>
      <x:c r="B8" s="94"/>
      <x:c r="C8" s="94"/>
      <x:c r="D8" s="111"/>
      <x:c r="E8" s="94"/>
      <x:c r="F8" s="99"/>
      <x:c r="G8" s="103" t="str">
        <x:f>IF(F8="","",IFERROR(F8/$F$35,0))</x:f>
      </x:c>
      <x:c r="H8" s="99"/>
      <x:c r="I8" s="107" t="str">
        <x:f>IF(OR(F8="",H8=""),"",IFERROR(F8/H8,""))</x:f>
      </x:c>
      <x:c r="J8" s="99"/>
      <x:c r="K8" s="107" t="str">
        <x:f>IF(OR(F8="",J8=""),"",IFERROR(F8/J8,""))</x:f>
      </x:c>
      <x:c r="L8" s="107" t="str">
        <x:f>IF(K8="","",IFERROR(K8/Config!$B$5,""))</x:f>
      </x:c>
      <x:c r="M8" s="107" t="str">
        <x:f>IF(L8="","",IFERROR(L8*Config!$B$6,""))</x:f>
      </x:c>
      <x:c r="N8" s="107"/>
      <x:c r="O8" s="107" t="str">
        <x:f>IF(OR(M8="",N8=""),"",M8-N8)</x:f>
      </x:c>
      <x:c r="P8" s="99" t="str">
        <x:f>IF(F8="","",IFERROR(F8/Config!$B$5,""))</x:f>
      </x:c>
      <x:c r="Q8" s="99" t="str">
        <x:f>IF(P8="","",IFERROR(P8*Config!$B$6,""))</x:f>
      </x:c>
      <x:c r="R8" s="99"/>
      <x:c r="S8" s="99" t="str">
        <x:f>IF(OR(R8="",Q8=""),"",R8-Q8)</x:f>
      </x:c>
      <x:c r="T8" s="103" t="str">
        <x:f>IFERROR(S8/Q8,"")</x:f>
      </x:c>
      <x:c r="U8" s="99" t="str">
        <x:f>IFERROR(R8/N8,"")</x:f>
      </x:c>
      <x:c r="V8" s="99" t="str">
        <x:f>IF(OR(U8="",J8=""),"",U8-J8)</x:f>
      </x:c>
      <x:c r="W8" s="95"/>
    </x:row>
    <x:row r="9" ht="21" customHeight="1">
      <x:c r="A9" s="93"/>
      <x:c r="B9" s="94"/>
      <x:c r="C9" s="94"/>
      <x:c r="D9" s="111"/>
      <x:c r="E9" s="94"/>
      <x:c r="F9" s="99"/>
      <x:c r="G9" s="103" t="str">
        <x:f>IF(F9="","",IFERROR(F9/$F$35,0))</x:f>
      </x:c>
      <x:c r="H9" s="99"/>
      <x:c r="I9" s="107" t="str">
        <x:f>IF(OR(F9="",H9=""),"",IFERROR(F9/H9,""))</x:f>
      </x:c>
      <x:c r="J9" s="99"/>
      <x:c r="K9" s="107" t="str">
        <x:f>IF(OR(F9="",J9=""),"",IFERROR(F9/J9,""))</x:f>
      </x:c>
      <x:c r="L9" s="107" t="str">
        <x:f>IF(K9="","",IFERROR(K9/Config!$B$5,""))</x:f>
      </x:c>
      <x:c r="M9" s="107" t="str">
        <x:f>IF(L9="","",IFERROR(L9*Config!$B$6,""))</x:f>
      </x:c>
      <x:c r="N9" s="107"/>
      <x:c r="O9" s="107" t="str">
        <x:f>IF(OR(M9="",N9=""),"",M9-N9)</x:f>
      </x:c>
      <x:c r="P9" s="99" t="str">
        <x:f>IF(F9="","",IFERROR(F9/Config!$B$5,""))</x:f>
      </x:c>
      <x:c r="Q9" s="99" t="str">
        <x:f>IF(P9="","",IFERROR(P9*Config!$B$6,""))</x:f>
      </x:c>
      <x:c r="R9" s="99"/>
      <x:c r="S9" s="99" t="str">
        <x:f>IF(OR(R9="",Q9=""),"",R9-Q9)</x:f>
      </x:c>
      <x:c r="T9" s="103" t="str">
        <x:f>IFERROR(S9/Q9,"")</x:f>
      </x:c>
      <x:c r="U9" s="99" t="str">
        <x:f>IFERROR(R9/N9,"")</x:f>
      </x:c>
      <x:c r="V9" s="99" t="str">
        <x:f>IF(OR(U9="",J9=""),"",U9-J9)</x:f>
      </x:c>
      <x:c r="W9" s="95"/>
    </x:row>
    <x:row r="10" ht="21" customHeight="1">
      <x:c r="A10" s="93"/>
      <x:c r="B10" s="94"/>
      <x:c r="C10" s="94"/>
      <x:c r="D10" s="111"/>
      <x:c r="E10" s="94"/>
      <x:c r="F10" s="99"/>
      <x:c r="G10" s="103" t="str">
        <x:f>IF(F10="","",IFERROR(F10/$F$35,0))</x:f>
      </x:c>
      <x:c r="H10" s="99"/>
      <x:c r="I10" s="107" t="str">
        <x:f>IF(OR(F10="",H10=""),"",IFERROR(F10/H10,""))</x:f>
      </x:c>
      <x:c r="J10" s="99"/>
      <x:c r="K10" s="107" t="str">
        <x:f>IF(OR(F10="",J10=""),"",IFERROR(F10/J10,""))</x:f>
      </x:c>
      <x:c r="L10" s="107" t="str">
        <x:f>IF(K10="","",IFERROR(K10/Config!$B$5,""))</x:f>
      </x:c>
      <x:c r="M10" s="107" t="str">
        <x:f>IF(L10="","",IFERROR(L10*Config!$B$6,""))</x:f>
      </x:c>
      <x:c r="N10" s="107"/>
      <x:c r="O10" s="107" t="str">
        <x:f>IF(OR(M10="",N10=""),"",M10-N10)</x:f>
      </x:c>
      <x:c r="P10" s="99" t="str">
        <x:f>IF(F10="","",IFERROR(F10/Config!$B$5,""))</x:f>
      </x:c>
      <x:c r="Q10" s="99" t="str">
        <x:f>IF(P10="","",IFERROR(P10*Config!$B$6,""))</x:f>
      </x:c>
      <x:c r="R10" s="99"/>
      <x:c r="S10" s="99" t="str">
        <x:f>IF(OR(R10="",Q10=""),"",R10-Q10)</x:f>
      </x:c>
      <x:c r="T10" s="103" t="str">
        <x:f>IFERROR(S10/Q10,"")</x:f>
      </x:c>
      <x:c r="U10" s="99" t="str">
        <x:f>IFERROR(R10/N10,"")</x:f>
      </x:c>
      <x:c r="V10" s="99" t="str">
        <x:f>IF(OR(U10="",J10=""),"",U10-J10)</x:f>
      </x:c>
      <x:c r="W10" s="95"/>
    </x:row>
    <x:row r="11" ht="21" customHeight="1">
      <x:c r="A11" s="93"/>
      <x:c r="B11" s="94"/>
      <x:c r="C11" s="94"/>
      <x:c r="D11" s="111"/>
      <x:c r="E11" s="94"/>
      <x:c r="F11" s="99"/>
      <x:c r="G11" s="103" t="str">
        <x:f>IF(F11="","",IFERROR(F11/$F$35,0))</x:f>
      </x:c>
      <x:c r="H11" s="99"/>
      <x:c r="I11" s="107" t="str">
        <x:f>IF(OR(F11="",H11=""),"",IFERROR(F11/H11,""))</x:f>
      </x:c>
      <x:c r="J11" s="99"/>
      <x:c r="K11" s="107" t="str">
        <x:f>IF(OR(F11="",J11=""),"",IFERROR(F11/J11,""))</x:f>
      </x:c>
      <x:c r="L11" s="107" t="str">
        <x:f>IF(K11="","",IFERROR(K11/Config!$B$5,""))</x:f>
      </x:c>
      <x:c r="M11" s="107" t="str">
        <x:f>IF(L11="","",IFERROR(L11*Config!$B$6,""))</x:f>
      </x:c>
      <x:c r="N11" s="107"/>
      <x:c r="O11" s="107" t="str">
        <x:f>IF(OR(M11="",N11=""),"",M11-N11)</x:f>
      </x:c>
      <x:c r="P11" s="99" t="str">
        <x:f>IF(F11="","",IFERROR(F11/Config!$B$5,""))</x:f>
      </x:c>
      <x:c r="Q11" s="99" t="str">
        <x:f>IF(P11="","",IFERROR(P11*Config!$B$6,""))</x:f>
      </x:c>
      <x:c r="R11" s="99"/>
      <x:c r="S11" s="99" t="str">
        <x:f>IF(OR(R11="",Q11=""),"",R11-Q11)</x:f>
      </x:c>
      <x:c r="T11" s="103" t="str">
        <x:f>IFERROR(S11/Q11,"")</x:f>
      </x:c>
      <x:c r="U11" s="99" t="str">
        <x:f>IFERROR(R11/N11,"")</x:f>
      </x:c>
      <x:c r="V11" s="99" t="str">
        <x:f>IF(OR(U11="",J11=""),"",U11-J11)</x:f>
      </x:c>
      <x:c r="W11" s="95"/>
    </x:row>
    <x:row r="12" ht="21" customHeight="1">
      <x:c r="A12" s="93"/>
      <x:c r="B12" s="94"/>
      <x:c r="C12" s="94"/>
      <x:c r="D12" s="111"/>
      <x:c r="E12" s="94"/>
      <x:c r="F12" s="99"/>
      <x:c r="G12" s="103" t="str">
        <x:f>IF(F12="","",IFERROR(F12/$F$35,0))</x:f>
      </x:c>
      <x:c r="H12" s="99"/>
      <x:c r="I12" s="107" t="str">
        <x:f>IF(OR(F12="",H12=""),"",IFERROR(F12/H12,""))</x:f>
      </x:c>
      <x:c r="J12" s="99"/>
      <x:c r="K12" s="107" t="str">
        <x:f>IF(OR(F12="",J12=""),"",IFERROR(F12/J12,""))</x:f>
      </x:c>
      <x:c r="L12" s="107" t="str">
        <x:f>IF(K12="","",IFERROR(K12/Config!$B$5,""))</x:f>
      </x:c>
      <x:c r="M12" s="107" t="str">
        <x:f>IF(L12="","",IFERROR(L12*Config!$B$6,""))</x:f>
      </x:c>
      <x:c r="N12" s="107"/>
      <x:c r="O12" s="107" t="str">
        <x:f>IF(OR(M12="",N12=""),"",M12-N12)</x:f>
      </x:c>
      <x:c r="P12" s="99" t="str">
        <x:f>IF(F12="","",IFERROR(F12/Config!$B$5,""))</x:f>
      </x:c>
      <x:c r="Q12" s="99" t="str">
        <x:f>IF(P12="","",IFERROR(P12*Config!$B$6,""))</x:f>
      </x:c>
      <x:c r="R12" s="99"/>
      <x:c r="S12" s="99" t="str">
        <x:f>IF(OR(R12="",Q12=""),"",R12-Q12)</x:f>
      </x:c>
      <x:c r="T12" s="103" t="str">
        <x:f>IFERROR(S12/Q12,"")</x:f>
      </x:c>
      <x:c r="U12" s="99" t="str">
        <x:f>IFERROR(R12/N12,"")</x:f>
      </x:c>
      <x:c r="V12" s="99" t="str">
        <x:f>IF(OR(U12="",J12=""),"",U12-J12)</x:f>
      </x:c>
      <x:c r="W12" s="95"/>
    </x:row>
    <x:row r="13" ht="21" customHeight="1">
      <x:c r="A13" s="93"/>
      <x:c r="B13" s="94"/>
      <x:c r="C13" s="94"/>
      <x:c r="D13" s="111"/>
      <x:c r="E13" s="94"/>
      <x:c r="F13" s="99"/>
      <x:c r="G13" s="103" t="str">
        <x:f>IF(F13="","",IFERROR(F13/$F$35,0))</x:f>
      </x:c>
      <x:c r="H13" s="99"/>
      <x:c r="I13" s="107" t="str">
        <x:f>IF(OR(F13="",H13=""),"",IFERROR(F13/H13,""))</x:f>
      </x:c>
      <x:c r="J13" s="99"/>
      <x:c r="K13" s="107" t="str">
        <x:f>IF(OR(F13="",J13=""),"",IFERROR(F13/J13,""))</x:f>
      </x:c>
      <x:c r="L13" s="107" t="str">
        <x:f>IF(K13="","",IFERROR(K13/Config!$B$5,""))</x:f>
      </x:c>
      <x:c r="M13" s="107" t="str">
        <x:f>IF(L13="","",IFERROR(L13*Config!$B$6,""))</x:f>
      </x:c>
      <x:c r="N13" s="107"/>
      <x:c r="O13" s="107" t="str">
        <x:f>IF(OR(M13="",N13=""),"",M13-N13)</x:f>
      </x:c>
      <x:c r="P13" s="99" t="str">
        <x:f>IF(F13="","",IFERROR(F13/Config!$B$5,""))</x:f>
      </x:c>
      <x:c r="Q13" s="99" t="str">
        <x:f>IF(P13="","",IFERROR(P13*Config!$B$6,""))</x:f>
      </x:c>
      <x:c r="R13" s="99"/>
      <x:c r="S13" s="99" t="str">
        <x:f>IF(OR(R13="",Q13=""),"",R13-Q13)</x:f>
      </x:c>
      <x:c r="T13" s="103" t="str">
        <x:f>IFERROR(S13/Q13,"")</x:f>
      </x:c>
      <x:c r="U13" s="99" t="str">
        <x:f>IFERROR(R13/N13,"")</x:f>
      </x:c>
      <x:c r="V13" s="99" t="str">
        <x:f>IF(OR(U13="",J13=""),"",U13-J13)</x:f>
      </x:c>
      <x:c r="W13" s="95"/>
    </x:row>
    <x:row r="14" ht="21" customHeight="1">
      <x:c r="A14" s="93"/>
      <x:c r="B14" s="94"/>
      <x:c r="C14" s="94"/>
      <x:c r="D14" s="111"/>
      <x:c r="E14" s="94"/>
      <x:c r="F14" s="99"/>
      <x:c r="G14" s="103" t="str">
        <x:f>IF(F14="","",IFERROR(F14/$F$35,0))</x:f>
      </x:c>
      <x:c r="H14" s="99"/>
      <x:c r="I14" s="107" t="str">
        <x:f>IF(OR(F14="",H14=""),"",IFERROR(F14/H14,""))</x:f>
      </x:c>
      <x:c r="J14" s="99"/>
      <x:c r="K14" s="107" t="str">
        <x:f>IF(OR(F14="",J14=""),"",IFERROR(F14/J14,""))</x:f>
      </x:c>
      <x:c r="L14" s="107" t="str">
        <x:f>IF(K14="","",IFERROR(K14/Config!$B$5,""))</x:f>
      </x:c>
      <x:c r="M14" s="107" t="str">
        <x:f>IF(L14="","",IFERROR(L14*Config!$B$6,""))</x:f>
      </x:c>
      <x:c r="N14" s="107"/>
      <x:c r="O14" s="107" t="str">
        <x:f>IF(OR(M14="",N14=""),"",M14-N14)</x:f>
      </x:c>
      <x:c r="P14" s="99" t="str">
        <x:f>IF(F14="","",IFERROR(F14/Config!$B$5,""))</x:f>
      </x:c>
      <x:c r="Q14" s="99" t="str">
        <x:f>IF(P14="","",IFERROR(P14*Config!$B$6,""))</x:f>
      </x:c>
      <x:c r="R14" s="99"/>
      <x:c r="S14" s="99" t="str">
        <x:f>IF(OR(R14="",Q14=""),"",R14-Q14)</x:f>
      </x:c>
      <x:c r="T14" s="103" t="str">
        <x:f>IFERROR(S14/Q14,"")</x:f>
      </x:c>
      <x:c r="U14" s="99" t="str">
        <x:f>IFERROR(R14/N14,"")</x:f>
      </x:c>
      <x:c r="V14" s="99" t="str">
        <x:f>IF(OR(U14="",J14=""),"",U14-J14)</x:f>
      </x:c>
      <x:c r="W14" s="95"/>
    </x:row>
    <x:row r="15" ht="21" customHeight="1">
      <x:c r="A15" s="93"/>
      <x:c r="B15" s="94"/>
      <x:c r="C15" s="94"/>
      <x:c r="D15" s="111"/>
      <x:c r="E15" s="94"/>
      <x:c r="F15" s="99"/>
      <x:c r="G15" s="103" t="str">
        <x:f>IF(F15="","",IFERROR(F15/$F$35,0))</x:f>
      </x:c>
      <x:c r="H15" s="99"/>
      <x:c r="I15" s="107" t="str">
        <x:f>IF(OR(F15="",H15=""),"",IFERROR(F15/H15,""))</x:f>
      </x:c>
      <x:c r="J15" s="99"/>
      <x:c r="K15" s="107" t="str">
        <x:f>IF(OR(F15="",J15=""),"",IFERROR(F15/J15,""))</x:f>
      </x:c>
      <x:c r="L15" s="107" t="str">
        <x:f>IF(K15="","",IFERROR(K15/Config!$B$5,""))</x:f>
      </x:c>
      <x:c r="M15" s="107" t="str">
        <x:f>IF(L15="","",IFERROR(L15*Config!$B$6,""))</x:f>
      </x:c>
      <x:c r="N15" s="107"/>
      <x:c r="O15" s="107" t="str">
        <x:f>IF(OR(M15="",N15=""),"",M15-N15)</x:f>
      </x:c>
      <x:c r="P15" s="99" t="str">
        <x:f>IF(F15="","",IFERROR(F15/Config!$B$5,""))</x:f>
      </x:c>
      <x:c r="Q15" s="99" t="str">
        <x:f>IF(P15="","",IFERROR(P15*Config!$B$6,""))</x:f>
      </x:c>
      <x:c r="R15" s="99"/>
      <x:c r="S15" s="99" t="str">
        <x:f>IF(OR(R15="",Q15=""),"",R15-Q15)</x:f>
      </x:c>
      <x:c r="T15" s="103" t="str">
        <x:f>IFERROR(S15/Q15,"")</x:f>
      </x:c>
      <x:c r="U15" s="99" t="str">
        <x:f>IFERROR(R15/N15,"")</x:f>
      </x:c>
      <x:c r="V15" s="99" t="str">
        <x:f>IF(OR(U15="",J15=""),"",U15-J15)</x:f>
      </x:c>
      <x:c r="W15" s="95"/>
    </x:row>
    <x:row r="16" ht="21" customHeight="1">
      <x:c r="A16" s="93"/>
      <x:c r="B16" s="94"/>
      <x:c r="C16" s="94"/>
      <x:c r="D16" s="111"/>
      <x:c r="E16" s="94"/>
      <x:c r="F16" s="99"/>
      <x:c r="G16" s="103" t="str">
        <x:f>IF(F16="","",IFERROR(F16/$F$35,0))</x:f>
      </x:c>
      <x:c r="H16" s="99"/>
      <x:c r="I16" s="107" t="str">
        <x:f>IF(OR(F16="",H16=""),"",IFERROR(F16/H16,""))</x:f>
      </x:c>
      <x:c r="J16" s="99"/>
      <x:c r="K16" s="107" t="str">
        <x:f>IF(OR(F16="",J16=""),"",IFERROR(F16/J16,""))</x:f>
      </x:c>
      <x:c r="L16" s="107" t="str">
        <x:f>IF(K16="","",IFERROR(K16/Config!$B$5,""))</x:f>
      </x:c>
      <x:c r="M16" s="107" t="str">
        <x:f>IF(L16="","",IFERROR(L16*Config!$B$6,""))</x:f>
      </x:c>
      <x:c r="N16" s="107"/>
      <x:c r="O16" s="107" t="str">
        <x:f>IF(OR(M16="",N16=""),"",M16-N16)</x:f>
      </x:c>
      <x:c r="P16" s="99" t="str">
        <x:f>IF(F16="","",IFERROR(F16/Config!$B$5,""))</x:f>
      </x:c>
      <x:c r="Q16" s="99" t="str">
        <x:f>IF(P16="","",IFERROR(P16*Config!$B$6,""))</x:f>
      </x:c>
      <x:c r="R16" s="99"/>
      <x:c r="S16" s="99" t="str">
        <x:f>IF(OR(R16="",Q16=""),"",R16-Q16)</x:f>
      </x:c>
      <x:c r="T16" s="103" t="str">
        <x:f>IFERROR(S16/Q16,"")</x:f>
      </x:c>
      <x:c r="U16" s="99" t="str">
        <x:f>IFERROR(R16/N16,"")</x:f>
      </x:c>
      <x:c r="V16" s="99" t="str">
        <x:f>IF(OR(U16="",J16=""),"",U16-J16)</x:f>
      </x:c>
      <x:c r="W16" s="95"/>
    </x:row>
    <x:row r="17" ht="21" customHeight="1">
      <x:c r="A17" s="93"/>
      <x:c r="B17" s="94"/>
      <x:c r="C17" s="94"/>
      <x:c r="D17" s="111"/>
      <x:c r="E17" s="94"/>
      <x:c r="F17" s="99"/>
      <x:c r="G17" s="103" t="str">
        <x:f>IF(F17="","",IFERROR(F17/$F$35,0))</x:f>
      </x:c>
      <x:c r="H17" s="99"/>
      <x:c r="I17" s="107" t="str">
        <x:f>IF(OR(F17="",H17=""),"",IFERROR(F17/H17,""))</x:f>
      </x:c>
      <x:c r="J17" s="99"/>
      <x:c r="K17" s="107" t="str">
        <x:f>IF(OR(F17="",J17=""),"",IFERROR(F17/J17,""))</x:f>
      </x:c>
      <x:c r="L17" s="107" t="str">
        <x:f>IF(K17="","",IFERROR(K17/Config!$B$5,""))</x:f>
      </x:c>
      <x:c r="M17" s="107" t="str">
        <x:f>IF(L17="","",IFERROR(L17*Config!$B$6,""))</x:f>
      </x:c>
      <x:c r="N17" s="107"/>
      <x:c r="O17" s="107" t="str">
        <x:f>IF(OR(M17="",N17=""),"",M17-N17)</x:f>
      </x:c>
      <x:c r="P17" s="99" t="str">
        <x:f>IF(F17="","",IFERROR(F17/Config!$B$5,""))</x:f>
      </x:c>
      <x:c r="Q17" s="99" t="str">
        <x:f>IF(P17="","",IFERROR(P17*Config!$B$6,""))</x:f>
      </x:c>
      <x:c r="R17" s="99"/>
      <x:c r="S17" s="99" t="str">
        <x:f>IF(OR(R17="",Q17=""),"",R17-Q17)</x:f>
      </x:c>
      <x:c r="T17" s="103" t="str">
        <x:f>IFERROR(S17/Q17,"")</x:f>
      </x:c>
      <x:c r="U17" s="99" t="str">
        <x:f>IFERROR(R17/N17,"")</x:f>
      </x:c>
      <x:c r="V17" s="99" t="str">
        <x:f>IF(OR(U17="",J17=""),"",U17-J17)</x:f>
      </x:c>
      <x:c r="W17" s="95"/>
    </x:row>
    <x:row r="18" ht="21" customHeight="1">
      <x:c r="A18" s="93"/>
      <x:c r="B18" s="94"/>
      <x:c r="C18" s="94"/>
      <x:c r="D18" s="111"/>
      <x:c r="E18" s="94"/>
      <x:c r="F18" s="99"/>
      <x:c r="G18" s="103" t="str">
        <x:f>IF(F18="","",IFERROR(F18/$F$35,0))</x:f>
      </x:c>
      <x:c r="H18" s="99"/>
      <x:c r="I18" s="107" t="str">
        <x:f>IF(OR(F18="",H18=""),"",IFERROR(F18/H18,""))</x:f>
      </x:c>
      <x:c r="J18" s="99"/>
      <x:c r="K18" s="107" t="str">
        <x:f>IF(OR(F18="",J18=""),"",IFERROR(F18/J18,""))</x:f>
      </x:c>
      <x:c r="L18" s="107" t="str">
        <x:f>IF(K18="","",IFERROR(K18/Config!$B$5,""))</x:f>
      </x:c>
      <x:c r="M18" s="107" t="str">
        <x:f>IF(L18="","",IFERROR(L18*Config!$B$6,""))</x:f>
      </x:c>
      <x:c r="N18" s="107"/>
      <x:c r="O18" s="107" t="str">
        <x:f>IF(OR(M18="",N18=""),"",M18-N18)</x:f>
      </x:c>
      <x:c r="P18" s="99" t="str">
        <x:f>IF(F18="","",IFERROR(F18/Config!$B$5,""))</x:f>
      </x:c>
      <x:c r="Q18" s="99" t="str">
        <x:f>IF(P18="","",IFERROR(P18*Config!$B$6,""))</x:f>
      </x:c>
      <x:c r="R18" s="99"/>
      <x:c r="S18" s="99" t="str">
        <x:f>IF(OR(R18="",Q18=""),"",R18-Q18)</x:f>
      </x:c>
      <x:c r="T18" s="103" t="str">
        <x:f>IFERROR(S18/Q18,"")</x:f>
      </x:c>
      <x:c r="U18" s="99" t="str">
        <x:f>IFERROR(R18/N18,"")</x:f>
      </x:c>
      <x:c r="V18" s="99" t="str">
        <x:f>IF(OR(U18="",J18=""),"",U18-J18)</x:f>
      </x:c>
      <x:c r="W18" s="95"/>
    </x:row>
    <x:row r="19" ht="21" customHeight="1">
      <x:c r="A19" s="93"/>
      <x:c r="B19" s="94"/>
      <x:c r="C19" s="94"/>
      <x:c r="D19" s="111"/>
      <x:c r="E19" s="94"/>
      <x:c r="F19" s="99"/>
      <x:c r="G19" s="103" t="str">
        <x:f>IF(F19="","",IFERROR(F19/$F$35,0))</x:f>
      </x:c>
      <x:c r="H19" s="99"/>
      <x:c r="I19" s="107" t="str">
        <x:f>IF(OR(F19="",H19=""),"",IFERROR(F19/H19,""))</x:f>
      </x:c>
      <x:c r="J19" s="99"/>
      <x:c r="K19" s="107" t="str">
        <x:f>IF(OR(F19="",J19=""),"",IFERROR(F19/J19,""))</x:f>
      </x:c>
      <x:c r="L19" s="107" t="str">
        <x:f>IF(K19="","",IFERROR(K19/Config!$B$5,""))</x:f>
      </x:c>
      <x:c r="M19" s="107" t="str">
        <x:f>IF(L19="","",IFERROR(L19*Config!$B$6,""))</x:f>
      </x:c>
      <x:c r="N19" s="107"/>
      <x:c r="O19" s="107" t="str">
        <x:f>IF(OR(M19="",N19=""),"",M19-N19)</x:f>
      </x:c>
      <x:c r="P19" s="99" t="str">
        <x:f>IF(F19="","",IFERROR(F19/Config!$B$5,""))</x:f>
      </x:c>
      <x:c r="Q19" s="99" t="str">
        <x:f>IF(P19="","",IFERROR(P19*Config!$B$6,""))</x:f>
      </x:c>
      <x:c r="R19" s="99"/>
      <x:c r="S19" s="99" t="str">
        <x:f>IF(OR(R19="",Q19=""),"",R19-Q19)</x:f>
      </x:c>
      <x:c r="T19" s="103" t="str">
        <x:f>IFERROR(S19/Q19,"")</x:f>
      </x:c>
      <x:c r="U19" s="99" t="str">
        <x:f>IFERROR(R19/N19,"")</x:f>
      </x:c>
      <x:c r="V19" s="99" t="str">
        <x:f>IF(OR(U19="",J19=""),"",U19-J19)</x:f>
      </x:c>
      <x:c r="W19" s="95"/>
    </x:row>
    <x:row r="20" ht="21" customHeight="1">
      <x:c r="A20" s="93"/>
      <x:c r="B20" s="94"/>
      <x:c r="C20" s="94"/>
      <x:c r="D20" s="111"/>
      <x:c r="E20" s="94"/>
      <x:c r="F20" s="99"/>
      <x:c r="G20" s="103" t="str">
        <x:f>IF(F20="","",IFERROR(F20/$F$35,0))</x:f>
      </x:c>
      <x:c r="H20" s="99"/>
      <x:c r="I20" s="107" t="str">
        <x:f>IF(OR(F20="",H20=""),"",IFERROR(F20/H20,""))</x:f>
      </x:c>
      <x:c r="J20" s="99"/>
      <x:c r="K20" s="107" t="str">
        <x:f>IF(OR(F20="",J20=""),"",IFERROR(F20/J20,""))</x:f>
      </x:c>
      <x:c r="L20" s="107" t="str">
        <x:f>IF(K20="","",IFERROR(K20/Config!$B$5,""))</x:f>
      </x:c>
      <x:c r="M20" s="107" t="str">
        <x:f>IF(L20="","",IFERROR(L20*Config!$B$6,""))</x:f>
      </x:c>
      <x:c r="N20" s="107"/>
      <x:c r="O20" s="107" t="str">
        <x:f>IF(OR(M20="",N20=""),"",M20-N20)</x:f>
      </x:c>
      <x:c r="P20" s="99" t="str">
        <x:f>IF(F20="","",IFERROR(F20/Config!$B$5,""))</x:f>
      </x:c>
      <x:c r="Q20" s="99" t="str">
        <x:f>IF(P20="","",IFERROR(P20*Config!$B$6,""))</x:f>
      </x:c>
      <x:c r="R20" s="99"/>
      <x:c r="S20" s="99" t="str">
        <x:f>IF(OR(R20="",Q20=""),"",R20-Q20)</x:f>
      </x:c>
      <x:c r="T20" s="103" t="str">
        <x:f>IFERROR(S20/Q20,"")</x:f>
      </x:c>
      <x:c r="U20" s="99" t="str">
        <x:f>IFERROR(R20/N20,"")</x:f>
      </x:c>
      <x:c r="V20" s="99" t="str">
        <x:f>IF(OR(U20="",J20=""),"",U20-J20)</x:f>
      </x:c>
      <x:c r="W20" s="95"/>
    </x:row>
    <x:row r="21" ht="21" customHeight="1">
      <x:c r="A21" s="93"/>
      <x:c r="B21" s="94"/>
      <x:c r="C21" s="94"/>
      <x:c r="D21" s="111"/>
      <x:c r="E21" s="94"/>
      <x:c r="F21" s="99"/>
      <x:c r="G21" s="103" t="str">
        <x:f>IF(F21="","",IFERROR(F21/$F$35,0))</x:f>
      </x:c>
      <x:c r="H21" s="99"/>
      <x:c r="I21" s="107" t="str">
        <x:f>IF(OR(F21="",H21=""),"",IFERROR(F21/H21,""))</x:f>
      </x:c>
      <x:c r="J21" s="99"/>
      <x:c r="K21" s="107" t="str">
        <x:f>IF(OR(F21="",J21=""),"",IFERROR(F21/J21,""))</x:f>
      </x:c>
      <x:c r="L21" s="107" t="str">
        <x:f>IF(K21="","",IFERROR(K21/Config!$B$5,""))</x:f>
      </x:c>
      <x:c r="M21" s="107" t="str">
        <x:f>IF(L21="","",IFERROR(L21*Config!$B$6,""))</x:f>
      </x:c>
      <x:c r="N21" s="107"/>
      <x:c r="O21" s="107" t="str">
        <x:f>IF(OR(M21="",N21=""),"",M21-N21)</x:f>
      </x:c>
      <x:c r="P21" s="99" t="str">
        <x:f>IF(F21="","",IFERROR(F21/Config!$B$5,""))</x:f>
      </x:c>
      <x:c r="Q21" s="99" t="str">
        <x:f>IF(P21="","",IFERROR(P21*Config!$B$6,""))</x:f>
      </x:c>
      <x:c r="R21" s="99"/>
      <x:c r="S21" s="99" t="str">
        <x:f>IF(OR(R21="",Q21=""),"",R21-Q21)</x:f>
      </x:c>
      <x:c r="T21" s="103" t="str">
        <x:f>IFERROR(S21/Q21,"")</x:f>
      </x:c>
      <x:c r="U21" s="99" t="str">
        <x:f>IFERROR(R21/N21,"")</x:f>
      </x:c>
      <x:c r="V21" s="99" t="str">
        <x:f>IF(OR(U21="",J21=""),"",U21-J21)</x:f>
      </x:c>
      <x:c r="W21" s="95"/>
    </x:row>
    <x:row r="22" ht="21" customHeight="1">
      <x:c r="A22" s="93"/>
      <x:c r="B22" s="94"/>
      <x:c r="C22" s="94"/>
      <x:c r="D22" s="111"/>
      <x:c r="E22" s="94"/>
      <x:c r="F22" s="99"/>
      <x:c r="G22" s="103" t="str">
        <x:f>IF(F22="","",IFERROR(F22/$F$35,0))</x:f>
      </x:c>
      <x:c r="H22" s="99"/>
      <x:c r="I22" s="107" t="str">
        <x:f>IF(OR(F22="",H22=""),"",IFERROR(F22/H22,""))</x:f>
      </x:c>
      <x:c r="J22" s="99"/>
      <x:c r="K22" s="107" t="str">
        <x:f>IF(OR(F22="",J22=""),"",IFERROR(F22/J22,""))</x:f>
      </x:c>
      <x:c r="L22" s="107" t="str">
        <x:f>IF(K22="","",IFERROR(K22/Config!$B$5,""))</x:f>
      </x:c>
      <x:c r="M22" s="107" t="str">
        <x:f>IF(L22="","",IFERROR(L22*Config!$B$6,""))</x:f>
      </x:c>
      <x:c r="N22" s="107"/>
      <x:c r="O22" s="107" t="str">
        <x:f>IF(OR(M22="",N22=""),"",M22-N22)</x:f>
      </x:c>
      <x:c r="P22" s="99" t="str">
        <x:f>IF(F22="","",IFERROR(F22/Config!$B$5,""))</x:f>
      </x:c>
      <x:c r="Q22" s="99" t="str">
        <x:f>IF(P22="","",IFERROR(P22*Config!$B$6,""))</x:f>
      </x:c>
      <x:c r="R22" s="99"/>
      <x:c r="S22" s="99" t="str">
        <x:f>IF(OR(R22="",Q22=""),"",R22-Q22)</x:f>
      </x:c>
      <x:c r="T22" s="103" t="str">
        <x:f>IFERROR(S22/Q22,"")</x:f>
      </x:c>
      <x:c r="U22" s="99" t="str">
        <x:f>IFERROR(R22/N22,"")</x:f>
      </x:c>
      <x:c r="V22" s="99" t="str">
        <x:f>IF(OR(U22="",J22=""),"",U22-J22)</x:f>
      </x:c>
      <x:c r="W22" s="95"/>
    </x:row>
    <x:row r="23" ht="21" customHeight="1">
      <x:c r="A23" s="93"/>
      <x:c r="B23" s="94"/>
      <x:c r="C23" s="94"/>
      <x:c r="D23" s="111"/>
      <x:c r="E23" s="94"/>
      <x:c r="F23" s="99"/>
      <x:c r="G23" s="103" t="str">
        <x:f>IF(F23="","",IFERROR(F23/$F$35,0))</x:f>
      </x:c>
      <x:c r="H23" s="99"/>
      <x:c r="I23" s="107" t="str">
        <x:f>IF(OR(F23="",H23=""),"",IFERROR(F23/H23,""))</x:f>
      </x:c>
      <x:c r="J23" s="99"/>
      <x:c r="K23" s="107" t="str">
        <x:f>IF(OR(F23="",J23=""),"",IFERROR(F23/J23,""))</x:f>
      </x:c>
      <x:c r="L23" s="107" t="str">
        <x:f>IF(K23="","",IFERROR(K23/Config!$B$5,""))</x:f>
      </x:c>
      <x:c r="M23" s="107" t="str">
        <x:f>IF(L23="","",IFERROR(L23*Config!$B$6,""))</x:f>
      </x:c>
      <x:c r="N23" s="107"/>
      <x:c r="O23" s="107" t="str">
        <x:f>IF(OR(M23="",N23=""),"",M23-N23)</x:f>
      </x:c>
      <x:c r="P23" s="99" t="str">
        <x:f>IF(F23="","",IFERROR(F23/Config!$B$5,""))</x:f>
      </x:c>
      <x:c r="Q23" s="99" t="str">
        <x:f>IF(P23="","",IFERROR(P23*Config!$B$6,""))</x:f>
      </x:c>
      <x:c r="R23" s="99"/>
      <x:c r="S23" s="99" t="str">
        <x:f>IF(OR(R23="",Q23=""),"",R23-Q23)</x:f>
      </x:c>
      <x:c r="T23" s="103" t="str">
        <x:f>IFERROR(S23/Q23,"")</x:f>
      </x:c>
      <x:c r="U23" s="99" t="str">
        <x:f>IFERROR(R23/N23,"")</x:f>
      </x:c>
      <x:c r="V23" s="99" t="str">
        <x:f>IF(OR(U23="",J23=""),"",U23-J23)</x:f>
      </x:c>
      <x:c r="W23" s="95"/>
    </x:row>
    <x:row r="24" ht="21" customHeight="1">
      <x:c r="A24" s="93"/>
      <x:c r="B24" s="94"/>
      <x:c r="C24" s="94"/>
      <x:c r="D24" s="111"/>
      <x:c r="E24" s="94"/>
      <x:c r="F24" s="99"/>
      <x:c r="G24" s="103" t="str">
        <x:f>IF(F24="","",IFERROR(F24/$F$35,0))</x:f>
      </x:c>
      <x:c r="H24" s="99"/>
      <x:c r="I24" s="107" t="str">
        <x:f>IF(OR(F24="",H24=""),"",IFERROR(F24/H24,""))</x:f>
      </x:c>
      <x:c r="J24" s="99"/>
      <x:c r="K24" s="107" t="str">
        <x:f>IF(OR(F24="",J24=""),"",IFERROR(F24/J24,""))</x:f>
      </x:c>
      <x:c r="L24" s="107" t="str">
        <x:f>IF(K24="","",IFERROR(K24/Config!$B$5,""))</x:f>
      </x:c>
      <x:c r="M24" s="107" t="str">
        <x:f>IF(L24="","",IFERROR(L24*Config!$B$6,""))</x:f>
      </x:c>
      <x:c r="N24" s="107"/>
      <x:c r="O24" s="107" t="str">
        <x:f>IF(OR(M24="",N24=""),"",M24-N24)</x:f>
      </x:c>
      <x:c r="P24" s="99" t="str">
        <x:f>IF(F24="","",IFERROR(F24/Config!$B$5,""))</x:f>
      </x:c>
      <x:c r="Q24" s="99" t="str">
        <x:f>IF(P24="","",IFERROR(P24*Config!$B$6,""))</x:f>
      </x:c>
      <x:c r="R24" s="99"/>
      <x:c r="S24" s="99" t="str">
        <x:f>IF(OR(R24="",Q24=""),"",R24-Q24)</x:f>
      </x:c>
      <x:c r="T24" s="103" t="str">
        <x:f>IFERROR(S24/Q24,"")</x:f>
      </x:c>
      <x:c r="U24" s="99" t="str">
        <x:f>IFERROR(R24/N24,"")</x:f>
      </x:c>
      <x:c r="V24" s="99" t="str">
        <x:f>IF(OR(U24="",J24=""),"",U24-J24)</x:f>
      </x:c>
      <x:c r="W24" s="95"/>
    </x:row>
    <x:row r="25" ht="21" customHeight="1">
      <x:c r="A25" s="93"/>
      <x:c r="B25" s="94"/>
      <x:c r="C25" s="94"/>
      <x:c r="D25" s="111"/>
      <x:c r="E25" s="94"/>
      <x:c r="F25" s="99"/>
      <x:c r="G25" s="103" t="str">
        <x:f>IF(F25="","",IFERROR(F25/$F$35,0))</x:f>
      </x:c>
      <x:c r="H25" s="99"/>
      <x:c r="I25" s="107" t="str">
        <x:f>IF(OR(F25="",H25=""),"",IFERROR(F25/H25,""))</x:f>
      </x:c>
      <x:c r="J25" s="99"/>
      <x:c r="K25" s="107" t="str">
        <x:f>IF(OR(F25="",J25=""),"",IFERROR(F25/J25,""))</x:f>
      </x:c>
      <x:c r="L25" s="107" t="str">
        <x:f>IF(K25="","",IFERROR(K25/Config!$B$5,""))</x:f>
      </x:c>
      <x:c r="M25" s="107" t="str">
        <x:f>IF(L25="","",IFERROR(L25*Config!$B$6,""))</x:f>
      </x:c>
      <x:c r="N25" s="107"/>
      <x:c r="O25" s="107" t="str">
        <x:f>IF(OR(M25="",N25=""),"",M25-N25)</x:f>
      </x:c>
      <x:c r="P25" s="99" t="str">
        <x:f>IF(F25="","",IFERROR(F25/Config!$B$5,""))</x:f>
      </x:c>
      <x:c r="Q25" s="99" t="str">
        <x:f>IF(P25="","",IFERROR(P25*Config!$B$6,""))</x:f>
      </x:c>
      <x:c r="R25" s="99"/>
      <x:c r="S25" s="99" t="str">
        <x:f>IF(OR(R25="",Q25=""),"",R25-Q25)</x:f>
      </x:c>
      <x:c r="T25" s="103" t="str">
        <x:f>IFERROR(S25/Q25,"")</x:f>
      </x:c>
      <x:c r="U25" s="99" t="str">
        <x:f>IFERROR(R25/N25,"")</x:f>
      </x:c>
      <x:c r="V25" s="99" t="str">
        <x:f>IF(OR(U25="",J25=""),"",U25-J25)</x:f>
      </x:c>
      <x:c r="W25" s="95"/>
    </x:row>
    <x:row r="26" ht="21" customHeight="1">
      <x:c r="A26" s="93"/>
      <x:c r="B26" s="94"/>
      <x:c r="C26" s="94"/>
      <x:c r="D26" s="111"/>
      <x:c r="E26" s="94"/>
      <x:c r="F26" s="99"/>
      <x:c r="G26" s="103" t="str">
        <x:f>IF(F26="","",IFERROR(F26/$F$35,0))</x:f>
      </x:c>
      <x:c r="H26" s="99"/>
      <x:c r="I26" s="107" t="str">
        <x:f>IF(OR(F26="",H26=""),"",IFERROR(F26/H26,""))</x:f>
      </x:c>
      <x:c r="J26" s="99"/>
      <x:c r="K26" s="107" t="str">
        <x:f>IF(OR(F26="",J26=""),"",IFERROR(F26/J26,""))</x:f>
      </x:c>
      <x:c r="L26" s="107" t="str">
        <x:f>IF(K26="","",IFERROR(K26/Config!$B$5,""))</x:f>
      </x:c>
      <x:c r="M26" s="107" t="str">
        <x:f>IF(L26="","",IFERROR(L26*Config!$B$6,""))</x:f>
      </x:c>
      <x:c r="N26" s="107"/>
      <x:c r="O26" s="107" t="str">
        <x:f>IF(OR(M26="",N26=""),"",M26-N26)</x:f>
      </x:c>
      <x:c r="P26" s="99" t="str">
        <x:f>IF(F26="","",IFERROR(F26/Config!$B$5,""))</x:f>
      </x:c>
      <x:c r="Q26" s="99" t="str">
        <x:f>IF(P26="","",IFERROR(P26*Config!$B$6,""))</x:f>
      </x:c>
      <x:c r="R26" s="99"/>
      <x:c r="S26" s="99" t="str">
        <x:f>IF(OR(R26="",Q26=""),"",R26-Q26)</x:f>
      </x:c>
      <x:c r="T26" s="103" t="str">
        <x:f>IFERROR(S26/Q26,"")</x:f>
      </x:c>
      <x:c r="U26" s="99" t="str">
        <x:f>IFERROR(R26/N26,"")</x:f>
      </x:c>
      <x:c r="V26" s="99" t="str">
        <x:f>IF(OR(U26="",J26=""),"",U26-J26)</x:f>
      </x:c>
      <x:c r="W26" s="95"/>
    </x:row>
    <x:row r="27" ht="21" customHeight="1">
      <x:c r="A27" s="93"/>
      <x:c r="B27" s="94"/>
      <x:c r="C27" s="94"/>
      <x:c r="D27" s="111"/>
      <x:c r="E27" s="94"/>
      <x:c r="F27" s="99"/>
      <x:c r="G27" s="103" t="str">
        <x:f>IF(F27="","",IFERROR(F27/$F$35,0))</x:f>
      </x:c>
      <x:c r="H27" s="99"/>
      <x:c r="I27" s="107" t="str">
        <x:f>IF(OR(F27="",H27=""),"",IFERROR(F27/H27,""))</x:f>
      </x:c>
      <x:c r="J27" s="99"/>
      <x:c r="K27" s="107" t="str">
        <x:f>IF(OR(F27="",J27=""),"",IFERROR(F27/J27,""))</x:f>
      </x:c>
      <x:c r="L27" s="107" t="str">
        <x:f>IF(K27="","",IFERROR(K27/Config!$B$5,""))</x:f>
      </x:c>
      <x:c r="M27" s="107" t="str">
        <x:f>IF(L27="","",IFERROR(L27*Config!$B$6,""))</x:f>
      </x:c>
      <x:c r="N27" s="107"/>
      <x:c r="O27" s="107" t="str">
        <x:f>IF(OR(M27="",N27=""),"",M27-N27)</x:f>
      </x:c>
      <x:c r="P27" s="99" t="str">
        <x:f>IF(F27="","",IFERROR(F27/Config!$B$5,""))</x:f>
      </x:c>
      <x:c r="Q27" s="99" t="str">
        <x:f>IF(P27="","",IFERROR(P27*Config!$B$6,""))</x:f>
      </x:c>
      <x:c r="R27" s="99"/>
      <x:c r="S27" s="99" t="str">
        <x:f>IF(OR(R27="",Q27=""),"",R27-Q27)</x:f>
      </x:c>
      <x:c r="T27" s="103" t="str">
        <x:f>IFERROR(S27/Q27,"")</x:f>
      </x:c>
      <x:c r="U27" s="99" t="str">
        <x:f>IFERROR(R27/N27,"")</x:f>
      </x:c>
      <x:c r="V27" s="99" t="str">
        <x:f>IF(OR(U27="",J27=""),"",U27-J27)</x:f>
      </x:c>
      <x:c r="W27" s="95"/>
    </x:row>
    <x:row r="28" ht="21" customHeight="1">
      <x:c r="A28" s="93"/>
      <x:c r="B28" s="94"/>
      <x:c r="C28" s="94"/>
      <x:c r="D28" s="111"/>
      <x:c r="E28" s="94"/>
      <x:c r="F28" s="99"/>
      <x:c r="G28" s="103" t="str">
        <x:f>IF(F28="","",IFERROR(F28/$F$35,0))</x:f>
      </x:c>
      <x:c r="H28" s="99"/>
      <x:c r="I28" s="107" t="str">
        <x:f>IF(OR(F28="",H28=""),"",IFERROR(F28/H28,""))</x:f>
      </x:c>
      <x:c r="J28" s="99"/>
      <x:c r="K28" s="107" t="str">
        <x:f>IF(OR(F28="",J28=""),"",IFERROR(F28/J28,""))</x:f>
      </x:c>
      <x:c r="L28" s="107" t="str">
        <x:f>IF(K28="","",IFERROR(K28/Config!$B$5,""))</x:f>
      </x:c>
      <x:c r="M28" s="107" t="str">
        <x:f>IF(L28="","",IFERROR(L28*Config!$B$6,""))</x:f>
      </x:c>
      <x:c r="N28" s="107"/>
      <x:c r="O28" s="107" t="str">
        <x:f>IF(OR(M28="",N28=""),"",M28-N28)</x:f>
      </x:c>
      <x:c r="P28" s="99" t="str">
        <x:f>IF(F28="","",IFERROR(F28/Config!$B$5,""))</x:f>
      </x:c>
      <x:c r="Q28" s="99" t="str">
        <x:f>IF(P28="","",IFERROR(P28*Config!$B$6,""))</x:f>
      </x:c>
      <x:c r="R28" s="99"/>
      <x:c r="S28" s="99" t="str">
        <x:f>IF(OR(R28="",Q28=""),"",R28-Q28)</x:f>
      </x:c>
      <x:c r="T28" s="103" t="str">
        <x:f>IFERROR(S28/Q28,"")</x:f>
      </x:c>
      <x:c r="U28" s="99" t="str">
        <x:f>IFERROR(R28/N28,"")</x:f>
      </x:c>
      <x:c r="V28" s="99" t="str">
        <x:f>IF(OR(U28="",J28=""),"",U28-J28)</x:f>
      </x:c>
      <x:c r="W28" s="95"/>
    </x:row>
    <x:row r="29" ht="21" customHeight="1">
      <x:c r="A29" s="93"/>
      <x:c r="B29" s="94"/>
      <x:c r="C29" s="94"/>
      <x:c r="D29" s="111"/>
      <x:c r="E29" s="94"/>
      <x:c r="F29" s="99"/>
      <x:c r="G29" s="103" t="str">
        <x:f>IF(F29="","",IFERROR(F29/$F$35,0))</x:f>
      </x:c>
      <x:c r="H29" s="99"/>
      <x:c r="I29" s="107" t="str">
        <x:f>IF(OR(F29="",H29=""),"",IFERROR(F29/H29,""))</x:f>
      </x:c>
      <x:c r="J29" s="99"/>
      <x:c r="K29" s="107" t="str">
        <x:f>IF(OR(F29="",J29=""),"",IFERROR(F29/J29,""))</x:f>
      </x:c>
      <x:c r="L29" s="107" t="str">
        <x:f>IF(K29="","",IFERROR(K29/Config!$B$5,""))</x:f>
      </x:c>
      <x:c r="M29" s="107" t="str">
        <x:f>IF(L29="","",IFERROR(L29*Config!$B$6,""))</x:f>
      </x:c>
      <x:c r="N29" s="107"/>
      <x:c r="O29" s="107" t="str">
        <x:f>IF(OR(M29="",N29=""),"",M29-N29)</x:f>
      </x:c>
      <x:c r="P29" s="99" t="str">
        <x:f>IF(F29="","",IFERROR(F29/Config!$B$5,""))</x:f>
      </x:c>
      <x:c r="Q29" s="99" t="str">
        <x:f>IF(P29="","",IFERROR(P29*Config!$B$6,""))</x:f>
      </x:c>
      <x:c r="R29" s="99"/>
      <x:c r="S29" s="99" t="str">
        <x:f>IF(OR(R29="",Q29=""),"",R29-Q29)</x:f>
      </x:c>
      <x:c r="T29" s="103" t="str">
        <x:f>IFERROR(S29/Q29,"")</x:f>
      </x:c>
      <x:c r="U29" s="99" t="str">
        <x:f>IFERROR(R29/N29,"")</x:f>
      </x:c>
      <x:c r="V29" s="99" t="str">
        <x:f>IF(OR(U29="",J29=""),"",U29-J29)</x:f>
      </x:c>
      <x:c r="W29" s="95"/>
    </x:row>
    <x:row r="30" ht="21" customHeight="1">
      <x:c r="A30" s="93"/>
      <x:c r="B30" s="94"/>
      <x:c r="C30" s="94"/>
      <x:c r="D30" s="111"/>
      <x:c r="E30" s="94"/>
      <x:c r="F30" s="99"/>
      <x:c r="G30" s="103" t="str">
        <x:f>IF(F30="","",IFERROR(F30/$F$35,0))</x:f>
      </x:c>
      <x:c r="H30" s="99"/>
      <x:c r="I30" s="107" t="str">
        <x:f>IF(OR(F30="",H30=""),"",IFERROR(F30/H30,""))</x:f>
      </x:c>
      <x:c r="J30" s="99"/>
      <x:c r="K30" s="107" t="str">
        <x:f>IF(OR(F30="",J30=""),"",IFERROR(F30/J30,""))</x:f>
      </x:c>
      <x:c r="L30" s="107" t="str">
        <x:f>IF(K30="","",IFERROR(K30/Config!$B$5,""))</x:f>
      </x:c>
      <x:c r="M30" s="107" t="str">
        <x:f>IF(L30="","",IFERROR(L30*Config!$B$6,""))</x:f>
      </x:c>
      <x:c r="N30" s="107"/>
      <x:c r="O30" s="107" t="str">
        <x:f>IF(OR(M30="",N30=""),"",M30-N30)</x:f>
      </x:c>
      <x:c r="P30" s="99" t="str">
        <x:f>IF(F30="","",IFERROR(F30/Config!$B$5,""))</x:f>
      </x:c>
      <x:c r="Q30" s="99" t="str">
        <x:f>IF(P30="","",IFERROR(P30*Config!$B$6,""))</x:f>
      </x:c>
      <x:c r="R30" s="99"/>
      <x:c r="S30" s="99" t="str">
        <x:f>IF(OR(R30="",Q30=""),"",R30-Q30)</x:f>
      </x:c>
      <x:c r="T30" s="103" t="str">
        <x:f>IFERROR(S30/Q30,"")</x:f>
      </x:c>
      <x:c r="U30" s="99" t="str">
        <x:f>IFERROR(R30/N30,"")</x:f>
      </x:c>
      <x:c r="V30" s="99" t="str">
        <x:f>IF(OR(U30="",J30=""),"",U30-J30)</x:f>
      </x:c>
      <x:c r="W30" s="95"/>
    </x:row>
    <x:row r="31" ht="21" customHeight="1">
      <x:c r="A31" s="93"/>
      <x:c r="B31" s="94"/>
      <x:c r="C31" s="94"/>
      <x:c r="D31" s="111"/>
      <x:c r="E31" s="94"/>
      <x:c r="F31" s="99"/>
      <x:c r="G31" s="103" t="str">
        <x:f>IF(F31="","",IFERROR(F31/$F$35,0))</x:f>
      </x:c>
      <x:c r="H31" s="99"/>
      <x:c r="I31" s="107" t="str">
        <x:f>IF(OR(F31="",H31=""),"",IFERROR(F31/H31,""))</x:f>
      </x:c>
      <x:c r="J31" s="99"/>
      <x:c r="K31" s="107" t="str">
        <x:f>IF(OR(F31="",J31=""),"",IFERROR(F31/J31,""))</x:f>
      </x:c>
      <x:c r="L31" s="107" t="str">
        <x:f>IF(K31="","",IFERROR(K31/Config!$B$5,""))</x:f>
      </x:c>
      <x:c r="M31" s="107" t="str">
        <x:f>IF(L31="","",IFERROR(L31*Config!$B$6,""))</x:f>
      </x:c>
      <x:c r="N31" s="107"/>
      <x:c r="O31" s="107" t="str">
        <x:f>IF(OR(M31="",N31=""),"",M31-N31)</x:f>
      </x:c>
      <x:c r="P31" s="99" t="str">
        <x:f>IF(F31="","",IFERROR(F31/Config!$B$5,""))</x:f>
      </x:c>
      <x:c r="Q31" s="99" t="str">
        <x:f>IF(P31="","",IFERROR(P31*Config!$B$6,""))</x:f>
      </x:c>
      <x:c r="R31" s="99"/>
      <x:c r="S31" s="99" t="str">
        <x:f>IF(OR(R31="",Q31=""),"",R31-Q31)</x:f>
      </x:c>
      <x:c r="T31" s="103" t="str">
        <x:f>IFERROR(S31/Q31,"")</x:f>
      </x:c>
      <x:c r="U31" s="99" t="str">
        <x:f>IFERROR(R31/N31,"")</x:f>
      </x:c>
      <x:c r="V31" s="99" t="str">
        <x:f>IF(OR(U31="",J31=""),"",U31-J31)</x:f>
      </x:c>
      <x:c r="W31" s="95"/>
    </x:row>
    <x:row r="32" ht="21" customHeight="1">
      <x:c r="A32" s="93"/>
      <x:c r="B32" s="94"/>
      <x:c r="C32" s="94"/>
      <x:c r="D32" s="111"/>
      <x:c r="E32" s="94"/>
      <x:c r="F32" s="99"/>
      <x:c r="G32" s="103" t="str">
        <x:f>IF(F32="","",IFERROR(F32/$F$35,0))</x:f>
      </x:c>
      <x:c r="H32" s="99"/>
      <x:c r="I32" s="107" t="str">
        <x:f>IF(OR(F32="",H32=""),"",IFERROR(F32/H32,""))</x:f>
      </x:c>
      <x:c r="J32" s="99"/>
      <x:c r="K32" s="107" t="str">
        <x:f>IF(OR(F32="",J32=""),"",IFERROR(F32/J32,""))</x:f>
      </x:c>
      <x:c r="L32" s="107" t="str">
        <x:f>IF(K32="","",IFERROR(K32/Config!$B$5,""))</x:f>
      </x:c>
      <x:c r="M32" s="107" t="str">
        <x:f>IF(L32="","",IFERROR(L32*Config!$B$6,""))</x:f>
      </x:c>
      <x:c r="N32" s="107"/>
      <x:c r="O32" s="107" t="str">
        <x:f>IF(OR(M32="",N32=""),"",M32-N32)</x:f>
      </x:c>
      <x:c r="P32" s="99" t="str">
        <x:f>IF(F32="","",IFERROR(F32/Config!$B$5,""))</x:f>
      </x:c>
      <x:c r="Q32" s="99" t="str">
        <x:f>IF(P32="","",IFERROR(P32*Config!$B$6,""))</x:f>
      </x:c>
      <x:c r="R32" s="99"/>
      <x:c r="S32" s="99" t="str">
        <x:f>IF(OR(R32="",Q32=""),"",R32-Q32)</x:f>
      </x:c>
      <x:c r="T32" s="103" t="str">
        <x:f>IFERROR(S32/Q32,"")</x:f>
      </x:c>
      <x:c r="U32" s="99" t="str">
        <x:f>IFERROR(R32/N32,"")</x:f>
      </x:c>
      <x:c r="V32" s="99" t="str">
        <x:f>IF(OR(U32="",J32=""),"",U32-J32)</x:f>
      </x:c>
      <x:c r="W32" s="95"/>
    </x:row>
    <x:row r="33" ht="21" customHeight="1">
      <x:c r="A33" s="93"/>
      <x:c r="B33" s="94"/>
      <x:c r="C33" s="94"/>
      <x:c r="D33" s="111"/>
      <x:c r="E33" s="94"/>
      <x:c r="F33" s="99"/>
      <x:c r="G33" s="103" t="str">
        <x:f>IF(F33="","",IFERROR(F33/$F$35,0))</x:f>
      </x:c>
      <x:c r="H33" s="99"/>
      <x:c r="I33" s="107" t="str">
        <x:f>IF(OR(F33="",H33=""),"",IFERROR(F33/H33,""))</x:f>
      </x:c>
      <x:c r="J33" s="99"/>
      <x:c r="K33" s="107" t="str">
        <x:f>IF(OR(F33="",J33=""),"",IFERROR(F33/J33,""))</x:f>
      </x:c>
      <x:c r="L33" s="107" t="str">
        <x:f>IF(K33="","",IFERROR(K33/Config!$B$5,""))</x:f>
      </x:c>
      <x:c r="M33" s="107" t="str">
        <x:f>IF(L33="","",IFERROR(L33*Config!$B$6,""))</x:f>
      </x:c>
      <x:c r="N33" s="107"/>
      <x:c r="O33" s="107" t="str">
        <x:f>IF(OR(M33="",N33=""),"",M33-N33)</x:f>
      </x:c>
      <x:c r="P33" s="99" t="str">
        <x:f>IF(F33="","",IFERROR(F33/Config!$B$5,""))</x:f>
      </x:c>
      <x:c r="Q33" s="99" t="str">
        <x:f>IF(P33="","",IFERROR(P33*Config!$B$6,""))</x:f>
      </x:c>
      <x:c r="R33" s="99"/>
      <x:c r="S33" s="99" t="str">
        <x:f>IF(OR(R33="",Q33=""),"",R33-Q33)</x:f>
      </x:c>
      <x:c r="T33" s="103" t="str">
        <x:f>IFERROR(S33/Q33,"")</x:f>
      </x:c>
      <x:c r="U33" s="99" t="str">
        <x:f>IFERROR(R33/N33,"")</x:f>
      </x:c>
      <x:c r="V33" s="99" t="str">
        <x:f>IF(OR(U33="",J33=""),"",U33-J33)</x:f>
      </x:c>
      <x:c r="W33" s="95"/>
    </x:row>
    <x:row r="34" ht="21" customHeight="1">
      <x:c r="A34" s="93"/>
      <x:c r="B34" s="94"/>
      <x:c r="C34" s="94"/>
      <x:c r="D34" s="111"/>
      <x:c r="E34" s="94"/>
      <x:c r="F34" s="99"/>
      <x:c r="G34" s="103" t="str">
        <x:f>IF(F34="","",IFERROR(F34/$F$35,0))</x:f>
      </x:c>
      <x:c r="H34" s="99"/>
      <x:c r="I34" s="107" t="str">
        <x:f>IF(OR(F34="",H34=""),"",IFERROR(F34/H34,""))</x:f>
      </x:c>
      <x:c r="J34" s="99"/>
      <x:c r="K34" s="107" t="str">
        <x:f>IF(OR(F34="",J34=""),"",IFERROR(F34/J34,""))</x:f>
      </x:c>
      <x:c r="L34" s="107" t="str">
        <x:f>IF(K34="","",IFERROR(K34/Config!$B$5,""))</x:f>
      </x:c>
      <x:c r="M34" s="107" t="str">
        <x:f>IF(L34="","",IFERROR(L34*Config!$B$6,""))</x:f>
      </x:c>
      <x:c r="N34" s="107"/>
      <x:c r="O34" s="107" t="str">
        <x:f>IF(OR(M34="",N34=""),"",M34-N34)</x:f>
      </x:c>
      <x:c r="P34" s="99" t="str">
        <x:f>IF(F34="","",IFERROR(F34/Config!$B$5,""))</x:f>
      </x:c>
      <x:c r="Q34" s="99" t="str">
        <x:f>IF(P34="","",IFERROR(P34*Config!$B$6,""))</x:f>
      </x:c>
      <x:c r="R34" s="99"/>
      <x:c r="S34" s="99" t="str">
        <x:f>IF(OR(R34="",Q34=""),"",R34-Q34)</x:f>
      </x:c>
      <x:c r="T34" s="103" t="str">
        <x:f>IFERROR(S34/Q34,"")</x:f>
      </x:c>
      <x:c r="U34" s="99" t="str">
        <x:f>IFERROR(R34/N34,"")</x:f>
      </x:c>
      <x:c r="V34" s="99" t="str">
        <x:f>IF(OR(U34="",J34=""),"",U34-J34)</x:f>
      </x:c>
      <x:c r="W34" s="95"/>
    </x:row>
    <x:row r="35" ht="24" customHeight="1">
      <x:c r="A35" s="76" t="str">
        <x:v>TOTALE GENERALE</x:v>
      </x:c>
      <x:c r="B35" s="77"/>
      <x:c r="C35" s="77"/>
      <x:c r="D35" s="77"/>
      <x:c r="E35" s="77"/>
      <x:c r="F35" s="100" t="n">
        <x:f>SUM(F5:F34)</x:f>
        <x:v>0</x:v>
      </x:c>
      <x:c r="G35" s="104" t="str">
        <x:f>IF(F35=0,"",1)</x:f>
      </x:c>
      <x:c r="H35" s="100" t="str">
        <x:f>IFERROR(F35/I35,"")</x:f>
      </x:c>
      <x:c r="I35" s="108" t="n">
        <x:f>SUM(I5:I34)</x:f>
        <x:v>0</x:v>
      </x:c>
      <x:c r="J35" s="100" t="str">
        <x:f>IFERROR(F35/K35,"")</x:f>
      </x:c>
      <x:c r="K35" s="108" t="n">
        <x:f>SUM(K5:K34)</x:f>
        <x:v>0</x:v>
      </x:c>
      <x:c r="L35" s="108" t="n">
        <x:f>SUM(L5:L34)</x:f>
        <x:v>0</x:v>
      </x:c>
      <x:c r="M35" s="108" t="n">
        <x:f>SUM(M5:M34)</x:f>
        <x:v>0</x:v>
      </x:c>
      <x:c r="N35" s="108" t="n">
        <x:f>SUM(N5:N34)</x:f>
        <x:v>0</x:v>
      </x:c>
      <x:c r="O35" s="108" t="n">
        <x:f>M35-N35</x:f>
        <x:v>0</x:v>
      </x:c>
      <x:c r="P35" s="100" t="n">
        <x:f>SUM(P5:P34)</x:f>
        <x:v>0</x:v>
      </x:c>
      <x:c r="Q35" s="100" t="n">
        <x:f>SUM(Q5:Q34)</x:f>
        <x:v>0</x:v>
      </x:c>
      <x:c r="R35" s="100" t="n">
        <x:f>SUM(R5:R34)</x:f>
        <x:v>0</x:v>
      </x:c>
      <x:c r="S35" s="100" t="n">
        <x:f>R35-Q35</x:f>
        <x:v>0</x:v>
      </x:c>
      <x:c r="T35" s="104" t="str">
        <x:f>IFERROR(S35/Q35,"")</x:f>
      </x:c>
      <x:c r="U35" s="100" t="str">
        <x:f>IFERROR(R35/N35,"")</x:f>
      </x:c>
      <x:c r="V35" s="100" t="n">
        <x:f>IFERROR(U35-J35,"")</x:f>
        <x:v>0</x:v>
      </x:c>
      <x:c r="W35" s="78"/>
    </x:row>
  </x:sheetData>
  <x:mergeCells>
    <x:mergeCell ref="A1:W1"/>
    <x:mergeCell ref="A2:W2"/>
    <x:mergeCell ref="A35:E35"/>
  </x:mergeCells>
  <x:conditionalFormatting sqref="O5:O34">
    <x:cfRule type="cellIs" dxfId="0" priority="1" operator="lessThan">
      <x:formula>0</x:formula>
    </x:cfRule>
    <x:cfRule type="cellIs" dxfId="1" priority="2" operator="greaterThan">
      <x:formula>0</x:formula>
    </x:cfRule>
  </x:conditionalFormatting>
  <x:conditionalFormatting sqref="V5:V34">
    <x:cfRule type="cellIs" dxfId="2" priority="4" operator="lessThan">
      <x:formula>0</x:formula>
    </x:cfRule>
    <x:cfRule type="cellIs" dxfId="3" priority="5" operator="greaterThan">
      <x:formula>0</x:formula>
    </x:cfRule>
  </x:conditionalFormatting>
  <x:conditionalFormatting sqref="S5:S34">
    <x:cfRule type="cellIs" dxfId="4" priority="6" operator="lessThan">
      <x:formula>0</x:formula>
    </x:cfRule>
  </x:conditionalFormatting>
  <x:conditionalFormatting sqref="T5:T34">
    <x:cfRule type="expression" dxfId="5" priority="7">
      <x:formula>AND(ISNUMBER(T5),T5&lt;-0.2)</x:formula>
    </x:cfRule>
    <x:cfRule type="expression" dxfId="6" priority="8">
      <x:formula>AND(ISNUMBER(T5),T5&gt;=-0.2,T5&lt;0)</x:formula>
    </x:cfRule>
    <x:cfRule type="expression" dxfId="7" priority="9">
      <x:formula>AND(ISNUMBER(T5),T5&gt;=0,T5&lt;=0.2)</x:formula>
    </x:cfRule>
    <x:cfRule type="expression" dxfId="8" priority="10">
      <x:formula>AND(ISNUMBER(T5),T5&gt;0.2)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</x:cols>
  <x:sheetData>
    <x:row r="1" ht="34" customHeight="1">
      <x:c r="A1" s="40" t="str">
        <x:v>report_date</x:v>
      </x:c>
      <x:c r="B1" s="40" t="str">
        <x:v>start_date</x:v>
      </x:c>
      <x:c r="C1" s="40" t="str">
        <x:v>end_date</x:v>
      </x:c>
      <x:c r="D1" s="40" t="str">
        <x:v>excel_row</x:v>
      </x:c>
      <x:c r="E1" s="40" t="str">
        <x:v>funnel</x:v>
      </x:c>
      <x:c r="F1" s="40" t="str">
        <x:v>platform</x:v>
      </x:c>
      <x:c r="G1" s="40" t="str">
        <x:v>channel</x:v>
      </x:c>
      <x:c r="H1" s="40" t="str">
        <x:v>campaign_name</x:v>
      </x:c>
      <x:c r="I1" s="40" t="str">
        <x:v>investimento_media</x:v>
      </x:c>
      <x:c r="J1" s="40" t="str">
        <x:v>percentuale_investimento</x:v>
      </x:c>
      <x:c r="K1" s="40" t="str">
        <x:v>cpp_medio</x:v>
      </x:c>
      <x:c r="L1" s="40" t="str">
        <x:v>stima_pratiche</x:v>
      </x:c>
      <x:c r="M1" s="40" t="str">
        <x:v>cpl_target</x:v>
      </x:c>
      <x:c r="N1" s="40" t="str">
        <x:v>stima_lead</x:v>
      </x:c>
      <x:c r="O1" s="40" t="str">
        <x:v>stima_lead_giornaliere</x:v>
      </x:c>
      <x:c r="P1" s="40" t="str">
        <x:v>stima_lead_progressiva</x:v>
      </x:c>
      <x:c r="Q1" s="40" t="str">
        <x:v>lead_effettive</x:v>
      </x:c>
      <x:c r="R1" s="40" t="str">
        <x:v>delta_lead</x:v>
      </x:c>
      <x:c r="S1" s="40" t="str">
        <x:v>stima_spending_giornaliera</x:v>
      </x:c>
      <x:c r="T1" s="40" t="str">
        <x:v>stima_spending_progressiva</x:v>
      </x:c>
      <x:c r="U1" s="40" t="str">
        <x:v>speso_effettivo</x:v>
      </x:c>
      <x:c r="V1" s="40" t="str">
        <x:v>delta_speso</x:v>
      </x:c>
      <x:c r="W1" s="40" t="str">
        <x:v>delta_delivery_pct</x:v>
      </x:c>
      <x:c r="X1" s="40" t="str">
        <x:v>cpl_effettivo</x:v>
      </x:c>
      <x:c r="Y1" s="40" t="str">
        <x:v>delta_cpl</x:v>
      </x:c>
      <x:c r="Z1" s="40" t="str">
        <x:v>action</x:v>
      </x:c>
      <x:c r="AA1" s="40" t="str">
        <x:v>google_campaign_id</x:v>
      </x:c>
      <x:c r="AB1" s="40" t="str">
        <x:v>meta_campaign_id</x:v>
      </x:c>
      <x:c r="AC1" s="40" t="str">
        <x:v>dynamics_campaign_key</x:v>
      </x:c>
      <x:c r="AD1" s="40" t="str">
        <x:v>source_status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4" max="4" width="34" hidden="0" customWidth="1"/>
    <x:col min="5" max="5" width="34" hidden="0" customWidth="1"/>
  </x:cols>
  <x:sheetData>
    <x:row r="1">
      <x:c r="A1" s="12" t="str">
        <x:v>Parametro</x:v>
      </x:c>
      <x:c r="B1" s="13" t="str">
        <x:v>Valore</x:v>
      </x:c>
      <x:c r="D1" s="32" t="str">
        <x:v>Regola</x:v>
      </x:c>
      <x:c r="E1" s="32" t="str">
        <x:v>Significato</x:v>
      </x:c>
    </x:row>
    <x:row r="2">
      <x:c r="A2" s="14" t="str">
        <x:v>client_name</x:v>
      </x:c>
      <x:c r="B2" s="15" t="str">
        <x:v>Dynamica Retail</x:v>
      </x:c>
      <x:c r="D2" s="33" t="str">
        <x:v>Delta lead</x:v>
      </x:c>
      <x:c r="E2" s="33" t="str">
        <x:v>Stima progressiva - Lead effettive; negativo = sopra target</x:v>
      </x:c>
    </x:row>
    <x:row r="3">
      <x:c r="A3" s="14" t="str">
        <x:v>start_date</x:v>
      </x:c>
      <x:c r="B3" s="24"/>
      <x:c r="D3" s="33" t="str">
        <x:v>Delta speso</x:v>
      </x:c>
      <x:c r="E3" s="33" t="str">
        <x:v>Speso effettivo - Stima spending progressiva</x:v>
      </x:c>
    </x:row>
    <x:row r="4">
      <x:c r="A4" s="14" t="str">
        <x:v>end_date</x:v>
      </x:c>
      <x:c r="B4" s="24"/>
      <x:c r="D4" s="33" t="str">
        <x:v>Delta CPL</x:v>
      </x:c>
      <x:c r="E4" s="33" t="str">
        <x:v>CPL effettivo - CPL target; negativo = migliore</x:v>
      </x:c>
    </x:row>
    <x:row r="5">
      <x:c r="A5" s="14" t="str">
        <x:v>days_in_month</x:v>
      </x:c>
      <x:c r="B5" s="15"/>
      <x:c r="D5" s="33" t="str">
        <x:v>Righe input</x:v>
      </x:c>
      <x:c r="E5" s="33" t="str">
        <x:v>6:35; il codice può inserirne altre mantenendo lo stile</x:v>
      </x:c>
    </x:row>
    <x:row r="6">
      <x:c r="A6" s="14" t="str">
        <x:v>elapsed_days</x:v>
      </x:c>
      <x:c r="B6" s="15"/>
      <x:c r="D6" s="33" t="str">
        <x:v>Riga totale</x:v>
      </x:c>
      <x:c r="E6" s="33" t="str">
        <x:v>36; il codice può spostarla dopo l’ultima riga dati</x:v>
      </x:c>
    </x:row>
    <x:row r="7">
      <x:c r="A7" s="14" t="str">
        <x:v>updated_at</x:v>
      </x:c>
      <x:c r="B7" s="26"/>
    </x:row>
    <x:row r="8">
      <x:c r="A8" s="16" t="str">
        <x:v>source_status</x:v>
      </x:c>
      <x:c r="B8" s="17"/>
    </x:row>
  </x:sheetData>
  <x:pageMargins left="0.7" right="0.7" top="0.75" bottom="0.75" header="0.3" footer="0.3"/>
</x:worksheet>
</file>