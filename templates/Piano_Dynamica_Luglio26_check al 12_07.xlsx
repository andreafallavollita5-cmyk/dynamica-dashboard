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docs\DynamicaRetail\Piani&amp;Report\"/>
    </mc:Choice>
  </mc:AlternateContent>
  <xr:revisionPtr revIDLastSave="0" documentId="13_ncr:1_{ED1CCCF1-13E7-4396-BBB6-45BB34488E2B}" xr6:coauthVersionLast="47" xr6:coauthVersionMax="47" xr10:uidLastSave="{00000000-0000-0000-0000-000000000000}"/>
  <bookViews>
    <workbookView xWindow="-108" yWindow="-108" windowWidth="23256" windowHeight="12456" activeTab="1" xr2:uid="{B039C358-F8C1-45F8-80E3-6434D1B74591}"/>
  </bookViews>
  <sheets>
    <sheet name="check al 05" sheetId="1" r:id="rId1"/>
    <sheet name="check al 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2" l="1"/>
  <c r="Q26" i="2"/>
  <c r="Q27" i="2"/>
  <c r="Q28" i="2"/>
  <c r="Q29" i="2"/>
  <c r="Q8" i="2"/>
  <c r="W22" i="2"/>
  <c r="V23" i="2"/>
  <c r="U23" i="2"/>
  <c r="S23" i="2"/>
  <c r="R23" i="2"/>
  <c r="Q23" i="2"/>
  <c r="O23" i="2"/>
  <c r="N23" i="2"/>
  <c r="P10" i="2"/>
  <c r="P28" i="2"/>
  <c r="T28" i="2" s="1"/>
  <c r="P26" i="2"/>
  <c r="P20" i="2"/>
  <c r="T10" i="2"/>
  <c r="T12" i="2"/>
  <c r="S36" i="2" s="1"/>
  <c r="T14" i="2"/>
  <c r="W14" i="2" s="1"/>
  <c r="X14" i="2" s="1"/>
  <c r="W10" i="2"/>
  <c r="X10" i="2" s="1"/>
  <c r="T5" i="2"/>
  <c r="T8" i="2" s="1"/>
  <c r="T3" i="2"/>
  <c r="W23" i="2"/>
  <c r="X23" i="2" s="1"/>
  <c r="O27" i="2"/>
  <c r="O9" i="2"/>
  <c r="T26" i="2"/>
  <c r="T27" i="2"/>
  <c r="E67" i="2"/>
  <c r="D67" i="2"/>
  <c r="R38" i="2"/>
  <c r="S37" i="2"/>
  <c r="R37" i="2"/>
  <c r="R36" i="2"/>
  <c r="P29" i="2"/>
  <c r="H29" i="2"/>
  <c r="R28" i="2"/>
  <c r="S28" i="2" s="1"/>
  <c r="M28" i="2"/>
  <c r="N28" i="2" s="1"/>
  <c r="O28" i="2" s="1"/>
  <c r="K28" i="2"/>
  <c r="R27" i="2"/>
  <c r="S27" i="2" s="1"/>
  <c r="M27" i="2"/>
  <c r="N27" i="2" s="1"/>
  <c r="K27" i="2"/>
  <c r="R26" i="2"/>
  <c r="S26" i="2" s="1"/>
  <c r="M26" i="2"/>
  <c r="K26" i="2"/>
  <c r="K29" i="2" s="1"/>
  <c r="T25" i="2"/>
  <c r="P25" i="2"/>
  <c r="H25" i="2"/>
  <c r="M23" i="2"/>
  <c r="K23" i="2"/>
  <c r="X22" i="2"/>
  <c r="R22" i="2"/>
  <c r="S22" i="2" s="1"/>
  <c r="U22" i="2" s="1"/>
  <c r="V22" i="2" s="1"/>
  <c r="M22" i="2"/>
  <c r="N22" i="2" s="1"/>
  <c r="O22" i="2" s="1"/>
  <c r="Q22" i="2" s="1"/>
  <c r="K22" i="2"/>
  <c r="W21" i="2"/>
  <c r="X21" i="2" s="1"/>
  <c r="R21" i="2"/>
  <c r="S21" i="2" s="1"/>
  <c r="U21" i="2" s="1"/>
  <c r="V21" i="2" s="1"/>
  <c r="M21" i="2"/>
  <c r="N21" i="2" s="1"/>
  <c r="O21" i="2" s="1"/>
  <c r="Q21" i="2" s="1"/>
  <c r="K21" i="2"/>
  <c r="W20" i="2"/>
  <c r="X20" i="2" s="1"/>
  <c r="R20" i="2"/>
  <c r="S20" i="2" s="1"/>
  <c r="U20" i="2" s="1"/>
  <c r="V20" i="2" s="1"/>
  <c r="M20" i="2"/>
  <c r="N20" i="2" s="1"/>
  <c r="O20" i="2" s="1"/>
  <c r="Q20" i="2" s="1"/>
  <c r="K20" i="2"/>
  <c r="W18" i="2"/>
  <c r="X18" i="2" s="1"/>
  <c r="R18" i="2"/>
  <c r="S18" i="2" s="1"/>
  <c r="U18" i="2" s="1"/>
  <c r="V18" i="2" s="1"/>
  <c r="M18" i="2"/>
  <c r="N18" i="2" s="1"/>
  <c r="O18" i="2" s="1"/>
  <c r="Q18" i="2" s="1"/>
  <c r="K18" i="2"/>
  <c r="W17" i="2"/>
  <c r="X17" i="2" s="1"/>
  <c r="R17" i="2"/>
  <c r="S17" i="2" s="1"/>
  <c r="U17" i="2" s="1"/>
  <c r="V17" i="2" s="1"/>
  <c r="M17" i="2"/>
  <c r="N17" i="2" s="1"/>
  <c r="O17" i="2" s="1"/>
  <c r="Q17" i="2" s="1"/>
  <c r="K17" i="2"/>
  <c r="W16" i="2"/>
  <c r="X16" i="2" s="1"/>
  <c r="R16" i="2"/>
  <c r="S16" i="2" s="1"/>
  <c r="U16" i="2" s="1"/>
  <c r="V16" i="2" s="1"/>
  <c r="M16" i="2"/>
  <c r="N16" i="2" s="1"/>
  <c r="O16" i="2" s="1"/>
  <c r="Q16" i="2" s="1"/>
  <c r="K16" i="2"/>
  <c r="R14" i="2"/>
  <c r="S14" i="2" s="1"/>
  <c r="U14" i="2" s="1"/>
  <c r="V14" i="2" s="1"/>
  <c r="M14" i="2"/>
  <c r="N14" i="2" s="1"/>
  <c r="O14" i="2" s="1"/>
  <c r="Q14" i="2" s="1"/>
  <c r="K14" i="2"/>
  <c r="W12" i="2"/>
  <c r="X12" i="2" s="1"/>
  <c r="R12" i="2"/>
  <c r="S12" i="2" s="1"/>
  <c r="U12" i="2" s="1"/>
  <c r="V12" i="2" s="1"/>
  <c r="M12" i="2"/>
  <c r="N12" i="2" s="1"/>
  <c r="O12" i="2" s="1"/>
  <c r="Q12" i="2" s="1"/>
  <c r="K12" i="2"/>
  <c r="R10" i="2"/>
  <c r="S10" i="2" s="1"/>
  <c r="U10" i="2" s="1"/>
  <c r="V10" i="2" s="1"/>
  <c r="M10" i="2"/>
  <c r="N10" i="2" s="1"/>
  <c r="O10" i="2" s="1"/>
  <c r="Q10" i="2" s="1"/>
  <c r="K10" i="2"/>
  <c r="W9" i="2"/>
  <c r="X9" i="2" s="1"/>
  <c r="R9" i="2"/>
  <c r="S9" i="2" s="1"/>
  <c r="U9" i="2" s="1"/>
  <c r="V9" i="2" s="1"/>
  <c r="M9" i="2"/>
  <c r="N9" i="2" s="1"/>
  <c r="Q9" i="2" s="1"/>
  <c r="K9" i="2"/>
  <c r="H8" i="2"/>
  <c r="R7" i="2"/>
  <c r="S7" i="2" s="1"/>
  <c r="U7" i="2" s="1"/>
  <c r="V7" i="2" s="1"/>
  <c r="R5" i="2"/>
  <c r="S5" i="2" s="1"/>
  <c r="R3" i="2"/>
  <c r="S3" i="2" s="1"/>
  <c r="U3" i="2" s="1"/>
  <c r="V3" i="2" s="1"/>
  <c r="R37" i="1"/>
  <c r="R36" i="1"/>
  <c r="K11" i="1"/>
  <c r="M11" i="1"/>
  <c r="N11" i="1" s="1"/>
  <c r="O11" i="1" s="1"/>
  <c r="R35" i="1"/>
  <c r="E66" i="1"/>
  <c r="W19" i="1"/>
  <c r="X19" i="1" s="1"/>
  <c r="W10" i="1"/>
  <c r="X10" i="1" s="1"/>
  <c r="W11" i="1"/>
  <c r="X11" i="1" s="1"/>
  <c r="W13" i="1"/>
  <c r="X13" i="1" s="1"/>
  <c r="W16" i="1"/>
  <c r="X16" i="1" s="1"/>
  <c r="W15" i="1"/>
  <c r="X15" i="1" s="1"/>
  <c r="W17" i="1"/>
  <c r="X17" i="1" s="1"/>
  <c r="W9" i="1"/>
  <c r="X9" i="1" s="1"/>
  <c r="D66" i="1"/>
  <c r="S36" i="1"/>
  <c r="S35" i="1"/>
  <c r="T8" i="1"/>
  <c r="W8" i="1" s="1"/>
  <c r="X8" i="1" s="1"/>
  <c r="R5" i="1"/>
  <c r="S5" i="1" s="1"/>
  <c r="U5" i="1" s="1"/>
  <c r="V5" i="1" s="1"/>
  <c r="R7" i="1"/>
  <c r="S7" i="1" s="1"/>
  <c r="U7" i="1" s="1"/>
  <c r="V7" i="1" s="1"/>
  <c r="R3" i="1"/>
  <c r="S3" i="1" s="1"/>
  <c r="U3" i="1" s="1"/>
  <c r="V3" i="1" s="1"/>
  <c r="T24" i="1"/>
  <c r="T27" i="1"/>
  <c r="T26" i="1"/>
  <c r="T25" i="1"/>
  <c r="R26" i="1"/>
  <c r="S26" i="1" s="1"/>
  <c r="R27" i="1"/>
  <c r="S27" i="1" s="1"/>
  <c r="R25" i="1"/>
  <c r="S25" i="1" s="1"/>
  <c r="U25" i="1" s="1"/>
  <c r="R17" i="1"/>
  <c r="S17" i="1" s="1"/>
  <c r="U17" i="1" s="1"/>
  <c r="V17" i="1" s="1"/>
  <c r="R10" i="1"/>
  <c r="S10" i="1" s="1"/>
  <c r="U10" i="1" s="1"/>
  <c r="V10" i="1" s="1"/>
  <c r="R11" i="1"/>
  <c r="S11" i="1" s="1"/>
  <c r="U11" i="1" s="1"/>
  <c r="V11" i="1" s="1"/>
  <c r="R13" i="1"/>
  <c r="S13" i="1" s="1"/>
  <c r="U13" i="1" s="1"/>
  <c r="V13" i="1" s="1"/>
  <c r="R16" i="1"/>
  <c r="S16" i="1" s="1"/>
  <c r="U16" i="1" s="1"/>
  <c r="V16" i="1" s="1"/>
  <c r="R15" i="1"/>
  <c r="R19" i="1"/>
  <c r="S19" i="1" s="1"/>
  <c r="U19" i="1" s="1"/>
  <c r="V19" i="1" s="1"/>
  <c r="R20" i="1"/>
  <c r="S20" i="1" s="1"/>
  <c r="U20" i="1" s="1"/>
  <c r="V20" i="1" s="1"/>
  <c r="R21" i="1"/>
  <c r="S21" i="1" s="1"/>
  <c r="U21" i="1" s="1"/>
  <c r="V21" i="1" s="1"/>
  <c r="R9" i="1"/>
  <c r="S9" i="1" s="1"/>
  <c r="U9" i="1" s="1"/>
  <c r="V9" i="1" s="1"/>
  <c r="P24" i="1"/>
  <c r="P28" i="1"/>
  <c r="S15" i="1"/>
  <c r="U15" i="1" s="1"/>
  <c r="V15" i="1" s="1"/>
  <c r="W21" i="1"/>
  <c r="X21" i="1" s="1"/>
  <c r="W20" i="1"/>
  <c r="X20" i="1" s="1"/>
  <c r="M25" i="1"/>
  <c r="N25" i="1" s="1"/>
  <c r="O25" i="1" s="1"/>
  <c r="Q25" i="1" s="1"/>
  <c r="M10" i="1"/>
  <c r="N10" i="1" s="1"/>
  <c r="M17" i="1"/>
  <c r="N17" i="1" s="1"/>
  <c r="O17" i="1" s="1"/>
  <c r="M9" i="1"/>
  <c r="N9" i="1" s="1"/>
  <c r="M13" i="1"/>
  <c r="N13" i="1" s="1"/>
  <c r="M16" i="1"/>
  <c r="N16" i="1" s="1"/>
  <c r="M15" i="1"/>
  <c r="N15" i="1" s="1"/>
  <c r="M19" i="1"/>
  <c r="N19" i="1" s="1"/>
  <c r="M20" i="1"/>
  <c r="N20" i="1" s="1"/>
  <c r="M21" i="1"/>
  <c r="N21" i="1" s="1"/>
  <c r="M22" i="1"/>
  <c r="M26" i="1"/>
  <c r="N26" i="1" s="1"/>
  <c r="O26" i="1" s="1"/>
  <c r="Q26" i="1" s="1"/>
  <c r="M27" i="1"/>
  <c r="N27" i="1" s="1"/>
  <c r="O27" i="1" s="1"/>
  <c r="Q27" i="1" s="1"/>
  <c r="K9" i="1"/>
  <c r="K10" i="1"/>
  <c r="K13" i="1"/>
  <c r="K16" i="1"/>
  <c r="K15" i="1"/>
  <c r="K17" i="1"/>
  <c r="K19" i="1"/>
  <c r="K20" i="1"/>
  <c r="K21" i="1"/>
  <c r="K22" i="1"/>
  <c r="K25" i="1"/>
  <c r="K26" i="1"/>
  <c r="K27" i="1"/>
  <c r="T29" i="2" l="1"/>
  <c r="U5" i="2"/>
  <c r="V5" i="2" s="1"/>
  <c r="P30" i="2"/>
  <c r="M25" i="2"/>
  <c r="K25" i="2"/>
  <c r="N26" i="2"/>
  <c r="O26" i="2" s="1"/>
  <c r="M29" i="2"/>
  <c r="N29" i="2" s="1"/>
  <c r="O29" i="2"/>
  <c r="J29" i="2"/>
  <c r="R29" i="2"/>
  <c r="S29" i="2" s="1"/>
  <c r="L29" i="2"/>
  <c r="U28" i="2"/>
  <c r="V28" i="2" s="1"/>
  <c r="W28" i="2"/>
  <c r="U27" i="2"/>
  <c r="V27" i="2" s="1"/>
  <c r="W27" i="2"/>
  <c r="W26" i="2"/>
  <c r="U26" i="2"/>
  <c r="V26" i="2" s="1"/>
  <c r="S38" i="2"/>
  <c r="S39" i="2" s="1"/>
  <c r="W25" i="2"/>
  <c r="R25" i="2"/>
  <c r="S25" i="2" s="1"/>
  <c r="U25" i="2" s="1"/>
  <c r="V25" i="2" s="1"/>
  <c r="W8" i="2"/>
  <c r="X8" i="2" s="1"/>
  <c r="M8" i="2"/>
  <c r="R8" i="2"/>
  <c r="S8" i="2" s="1"/>
  <c r="U8" i="2" s="1"/>
  <c r="V8" i="2" s="1"/>
  <c r="H30" i="2"/>
  <c r="S37" i="1"/>
  <c r="S38" i="1" s="1"/>
  <c r="T28" i="1"/>
  <c r="T29" i="1" s="1"/>
  <c r="W24" i="1"/>
  <c r="O10" i="1"/>
  <c r="Q10" i="1" s="1"/>
  <c r="O16" i="1"/>
  <c r="Q16" i="1" s="1"/>
  <c r="O19" i="1"/>
  <c r="Q19" i="1" s="1"/>
  <c r="O20" i="1"/>
  <c r="Q20" i="1" s="1"/>
  <c r="O9" i="1"/>
  <c r="Q9" i="1" s="1"/>
  <c r="Q17" i="1"/>
  <c r="O13" i="1"/>
  <c r="Q13" i="1" s="1"/>
  <c r="Q11" i="1"/>
  <c r="O15" i="1"/>
  <c r="Q15" i="1" s="1"/>
  <c r="O21" i="1"/>
  <c r="Q21" i="1" s="1"/>
  <c r="W27" i="1"/>
  <c r="U27" i="1"/>
  <c r="V27" i="1" s="1"/>
  <c r="W26" i="1"/>
  <c r="U26" i="1"/>
  <c r="V26" i="1" s="1"/>
  <c r="W25" i="1"/>
  <c r="V25" i="1"/>
  <c r="K24" i="1"/>
  <c r="M28" i="1"/>
  <c r="N28" i="1" s="1"/>
  <c r="O28" i="1" s="1"/>
  <c r="M24" i="1"/>
  <c r="N24" i="1" s="1"/>
  <c r="O24" i="1" s="1"/>
  <c r="K28" i="1"/>
  <c r="U29" i="2" l="1"/>
  <c r="V29" i="2" s="1"/>
  <c r="W29" i="2"/>
  <c r="T30" i="2"/>
  <c r="W30" i="2" s="1"/>
  <c r="N25" i="2"/>
  <c r="O25" i="2" s="1"/>
  <c r="L25" i="2"/>
  <c r="X25" i="2" s="1"/>
  <c r="K30" i="2"/>
  <c r="J25" i="2"/>
  <c r="N8" i="2"/>
  <c r="M30" i="2"/>
  <c r="I30" i="2"/>
  <c r="J30" i="2"/>
  <c r="L30" i="2"/>
  <c r="R30" i="2"/>
  <c r="S30" i="2" s="1"/>
  <c r="I28" i="2"/>
  <c r="I5" i="2"/>
  <c r="I9" i="2"/>
  <c r="I10" i="2"/>
  <c r="I24" i="2"/>
  <c r="I3" i="2"/>
  <c r="I7" i="2"/>
  <c r="I14" i="2"/>
  <c r="I16" i="2"/>
  <c r="I12" i="2"/>
  <c r="I17" i="2"/>
  <c r="I18" i="2"/>
  <c r="I20" i="2"/>
  <c r="I21" i="2"/>
  <c r="I22" i="2"/>
  <c r="I23" i="2"/>
  <c r="I26" i="2"/>
  <c r="I27" i="2"/>
  <c r="I25" i="2"/>
  <c r="I8" i="2"/>
  <c r="I29" i="2"/>
  <c r="Q28" i="1"/>
  <c r="P29" i="1"/>
  <c r="W29" i="1" s="1"/>
  <c r="W28" i="1"/>
  <c r="K29" i="1"/>
  <c r="Q24" i="1"/>
  <c r="H24" i="1"/>
  <c r="R24" i="1" s="1"/>
  <c r="S24" i="1" s="1"/>
  <c r="U24" i="1" s="1"/>
  <c r="V24" i="1" s="1"/>
  <c r="H28" i="1"/>
  <c r="R28" i="1" s="1"/>
  <c r="S28" i="1" s="1"/>
  <c r="U28" i="1" s="1"/>
  <c r="V28" i="1" s="1"/>
  <c r="H8" i="1"/>
  <c r="U30" i="2" l="1"/>
  <c r="V30" i="2" s="1"/>
  <c r="N30" i="2"/>
  <c r="O8" i="2"/>
  <c r="X30" i="2"/>
  <c r="M8" i="1"/>
  <c r="N8" i="1" s="1"/>
  <c r="O8" i="1" s="1"/>
  <c r="O29" i="1" s="1"/>
  <c r="Q29" i="1" s="1"/>
  <c r="R8" i="1"/>
  <c r="S8" i="1" s="1"/>
  <c r="U8" i="1" s="1"/>
  <c r="V8" i="1" s="1"/>
  <c r="L24" i="1"/>
  <c r="X24" i="1" s="1"/>
  <c r="J28" i="1"/>
  <c r="J24" i="1"/>
  <c r="L28" i="1"/>
  <c r="H29" i="1"/>
  <c r="O30" i="2" l="1"/>
  <c r="Q30" i="2" s="1"/>
  <c r="R29" i="1"/>
  <c r="S29" i="1" s="1"/>
  <c r="U29" i="1" s="1"/>
  <c r="V29" i="1" s="1"/>
  <c r="J29" i="1"/>
  <c r="M29" i="1"/>
  <c r="L29" i="1" s="1"/>
  <c r="X29" i="1" s="1"/>
  <c r="I23" i="1"/>
  <c r="I8" i="1"/>
  <c r="I28" i="1"/>
  <c r="I5" i="1"/>
  <c r="I22" i="1"/>
  <c r="I7" i="1"/>
  <c r="I15" i="1"/>
  <c r="I9" i="1"/>
  <c r="I17" i="1"/>
  <c r="I29" i="1"/>
  <c r="I10" i="1"/>
  <c r="I18" i="1"/>
  <c r="I19" i="1"/>
  <c r="I25" i="1"/>
  <c r="I11" i="1"/>
  <c r="I20" i="1"/>
  <c r="I26" i="1"/>
  <c r="I13" i="1"/>
  <c r="I21" i="1"/>
  <c r="I27" i="1"/>
  <c r="I3" i="1"/>
  <c r="I16" i="1"/>
  <c r="I24" i="1"/>
  <c r="Q8" i="1" l="1"/>
  <c r="N29" i="1"/>
</calcChain>
</file>

<file path=xl/sharedStrings.xml><?xml version="1.0" encoding="utf-8"?>
<sst xmlns="http://schemas.openxmlformats.org/spreadsheetml/2006/main" count="246" uniqueCount="83">
  <si>
    <t>Funnel</t>
  </si>
  <si>
    <t>Canale</t>
  </si>
  <si>
    <t>Campagna</t>
  </si>
  <si>
    <t>Investimento Media</t>
  </si>
  <si>
    <t>%</t>
  </si>
  <si>
    <t>CPP medio</t>
  </si>
  <si>
    <t>Stima Pratiche</t>
  </si>
  <si>
    <t>CPL medio</t>
  </si>
  <si>
    <t>Stima Lead</t>
  </si>
  <si>
    <t>Area Clienti</t>
  </si>
  <si>
    <t>Search</t>
  </si>
  <si>
    <t>CQ e CQP | Calcola Preventivo - Area Clienti</t>
  </si>
  <si>
    <t>Display</t>
  </si>
  <si>
    <t>TOT Area Clienti</t>
  </si>
  <si>
    <t>Lead Veloce</t>
  </si>
  <si>
    <t>DEM</t>
  </si>
  <si>
    <t>DEM DYNAMICS ADVICE ME</t>
  </si>
  <si>
    <t>DEM DIGITOO</t>
  </si>
  <si>
    <t>TOT DEM</t>
  </si>
  <si>
    <t>[BMK 2025] LeadGen CQD PEN [Romania]</t>
  </si>
  <si>
    <t>[BMK 2025] LeadGen CQD PEN [Tunisia]</t>
  </si>
  <si>
    <t>[BMK 2025] LeadGen CQD PEN [Albania]</t>
  </si>
  <si>
    <t>Pulsanti</t>
  </si>
  <si>
    <t>TOT Lead Veloce</t>
  </si>
  <si>
    <t xml:space="preserve">Google </t>
  </si>
  <si>
    <t>Meta</t>
  </si>
  <si>
    <t>DYN_AREACL 2.0 - PURCHASE</t>
  </si>
  <si>
    <t>Dem</t>
  </si>
  <si>
    <t>DYN_AREACL Delega di Pagamento - Area Clienti</t>
  </si>
  <si>
    <t>DYN_PUL NEW Meta</t>
  </si>
  <si>
    <t>DYN_VELOCE Landing a pulsanti</t>
  </si>
  <si>
    <t>DYN_VELOCE New Creative Apr26</t>
  </si>
  <si>
    <t>DYN_VELOCE LeadGen DIP - CQD | CBO Scaling (F3)</t>
  </si>
  <si>
    <t>DEM TIG</t>
  </si>
  <si>
    <t>Stima lead giornaliere</t>
  </si>
  <si>
    <t>DYN_PUL Leads-Pmax</t>
  </si>
  <si>
    <t>reklame</t>
  </si>
  <si>
    <t>DYN_VELOCE CQ Pensionati QUINTO DIGITALE</t>
  </si>
  <si>
    <t>DYN_VELOCE CQ Pensionati ESTERO - Paesi Prioritari QUINTO DIGITALE</t>
  </si>
  <si>
    <t>Whatsapp</t>
  </si>
  <si>
    <t>DYN_Landing_Whatsapp</t>
  </si>
  <si>
    <t>Stima lead al 05/07</t>
  </si>
  <si>
    <t>Lead effettive</t>
  </si>
  <si>
    <t>Delta lead</t>
  </si>
  <si>
    <t>google</t>
  </si>
  <si>
    <t>meta</t>
  </si>
  <si>
    <t>dem</t>
  </si>
  <si>
    <t>Stima spending al 05/07</t>
  </si>
  <si>
    <t xml:space="preserve">Delta speso </t>
  </si>
  <si>
    <t xml:space="preserve">Speso effettivo 05/07 </t>
  </si>
  <si>
    <t>%Delta delivery</t>
  </si>
  <si>
    <t xml:space="preserve">CPL </t>
  </si>
  <si>
    <t>Delta CPL</t>
  </si>
  <si>
    <t>Stima giornaliero</t>
  </si>
  <si>
    <t>giorni mese</t>
  </si>
  <si>
    <t>giorni mese DEM</t>
  </si>
  <si>
    <t xml:space="preserve">controlloDEM </t>
  </si>
  <si>
    <t>TOTALI</t>
  </si>
  <si>
    <t>Lead per giorno</t>
  </si>
  <si>
    <t xml:space="preserve">controllo </t>
  </si>
  <si>
    <t>Totale</t>
  </si>
  <si>
    <t xml:space="preserve">Pianificato </t>
  </si>
  <si>
    <t>Effettivo</t>
  </si>
  <si>
    <t xml:space="preserve">abbassato leggermente lo spending giornaliero </t>
  </si>
  <si>
    <t>Nuova campagna pronta</t>
  </si>
  <si>
    <t xml:space="preserve">diminuito cpa target che era stato alzato per aiutare la campagna ad uscire dalla fase di apprendimento </t>
  </si>
  <si>
    <t xml:space="preserve">diminuito cpa target - alzato a giugno per dare più dati alla campagna che è stata rilanciata da zero </t>
  </si>
  <si>
    <t xml:space="preserve">ID Campagna </t>
  </si>
  <si>
    <t xml:space="preserve">ATTIVATA nuova campagna - quando esce da apprendimento abbassare cpa target </t>
  </si>
  <si>
    <t>DYN_VELOCE CQ Pensionati [Esatta]</t>
  </si>
  <si>
    <t>DYN_VELOCE CQ Pensionati ESTERO - Paesi Prioritari</t>
  </si>
  <si>
    <t>DYN_VELOCE Cessione del Quinto QUINTO DIGITALE</t>
  </si>
  <si>
    <t>DYN_VELOCE Cessione del Quinto [Esatta]</t>
  </si>
  <si>
    <t>chiesto push per settimana del 06/07</t>
  </si>
  <si>
    <t>DYN_AREACL CQ e CQP | Calcola Preventivo - QUINTO DIGITALE</t>
  </si>
  <si>
    <t>DYN_AREACL Delega di Pagamento - QUINTO DIGITALE</t>
  </si>
  <si>
    <t>DYN_VELOCE Cessione del Quinto [Esatta] QUINTO DIGITALE</t>
  </si>
  <si>
    <t>Stima lead al 12/07</t>
  </si>
  <si>
    <t>Stima spending al 12/07</t>
  </si>
  <si>
    <t xml:space="preserve">Speso effettivo 12/07 </t>
  </si>
  <si>
    <t>Stima spesa giornaliero</t>
  </si>
  <si>
    <t>DYN_PUL Landing a pulsanti</t>
  </si>
  <si>
    <t>SWITCH fatto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</si>
</sst>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  <numFmt numFmtId="166" formatCode="0.0%"/>
    <numFmt numFmtId="167" formatCode="_-* #,##0.0_-;\-* #,##0.0_-;_-* &quot;-&quot;??_-;_-@_-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1C2B3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154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8" fontId="2" fillId="0" borderId="4" xfId="0" applyNumberFormat="1" applyFont="1" applyBorder="1" applyAlignment="1">
      <alignment horizontal="center"/>
    </xf>
    <xf numFmtId="44" fontId="0" fillId="0" borderId="4" xfId="2" applyFont="1" applyBorder="1" applyAlignment="1">
      <alignment horizontal="center" vertical="center"/>
    </xf>
    <xf numFmtId="164" fontId="0" fillId="0" borderId="0" xfId="1" applyNumberFormat="1" applyFont="1"/>
    <xf numFmtId="0" fontId="4" fillId="0" borderId="0" xfId="0" applyFont="1"/>
    <xf numFmtId="9" fontId="0" fillId="0" borderId="4" xfId="3" applyFont="1" applyBorder="1"/>
    <xf numFmtId="165" fontId="0" fillId="0" borderId="4" xfId="2" applyNumberFormat="1" applyFont="1" applyBorder="1"/>
    <xf numFmtId="164" fontId="0" fillId="0" borderId="4" xfId="1" applyNumberFormat="1" applyFont="1" applyBorder="1"/>
    <xf numFmtId="8" fontId="2" fillId="0" borderId="3" xfId="0" applyNumberFormat="1" applyFont="1" applyBorder="1" applyAlignment="1">
      <alignment horizontal="center" vertical="center"/>
    </xf>
    <xf numFmtId="0" fontId="4" fillId="2" borderId="7" xfId="0" applyFont="1" applyFill="1" applyBorder="1"/>
    <xf numFmtId="44" fontId="3" fillId="2" borderId="7" xfId="0" applyNumberFormat="1" applyFont="1" applyFill="1" applyBorder="1"/>
    <xf numFmtId="9" fontId="3" fillId="2" borderId="7" xfId="3" applyFont="1" applyFill="1" applyBorder="1"/>
    <xf numFmtId="164" fontId="3" fillId="2" borderId="7" xfId="1" applyNumberFormat="1" applyFont="1" applyFill="1" applyBorder="1"/>
    <xf numFmtId="164" fontId="3" fillId="2" borderId="8" xfId="1" applyNumberFormat="1" applyFont="1" applyFill="1" applyBorder="1"/>
    <xf numFmtId="44" fontId="0" fillId="0" borderId="4" xfId="2" applyFont="1" applyBorder="1" applyAlignment="1">
      <alignment vertical="center"/>
    </xf>
    <xf numFmtId="9" fontId="0" fillId="0" borderId="4" xfId="3" applyFont="1" applyBorder="1" applyAlignment="1">
      <alignment vertical="center"/>
    </xf>
    <xf numFmtId="165" fontId="0" fillId="0" borderId="4" xfId="2" applyNumberFormat="1" applyFont="1" applyBorder="1" applyAlignment="1">
      <alignment vertical="center"/>
    </xf>
    <xf numFmtId="165" fontId="0" fillId="0" borderId="4" xfId="3" applyNumberFormat="1" applyFont="1" applyBorder="1"/>
    <xf numFmtId="9" fontId="0" fillId="0" borderId="3" xfId="3" applyFont="1" applyBorder="1"/>
    <xf numFmtId="165" fontId="0" fillId="0" borderId="3" xfId="2" applyNumberFormat="1" applyFont="1" applyBorder="1"/>
    <xf numFmtId="164" fontId="0" fillId="0" borderId="19" xfId="1" applyNumberFormat="1" applyFont="1" applyBorder="1"/>
    <xf numFmtId="0" fontId="4" fillId="2" borderId="7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8" fontId="3" fillId="2" borderId="7" xfId="0" applyNumberFormat="1" applyFont="1" applyFill="1" applyBorder="1"/>
    <xf numFmtId="0" fontId="4" fillId="4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/>
    </xf>
    <xf numFmtId="8" fontId="4" fillId="4" borderId="6" xfId="2" applyNumberFormat="1" applyFont="1" applyFill="1" applyBorder="1" applyAlignment="1">
      <alignment horizontal="center" vertical="center"/>
    </xf>
    <xf numFmtId="165" fontId="4" fillId="4" borderId="7" xfId="2" applyNumberFormat="1" applyFont="1" applyFill="1" applyBorder="1"/>
    <xf numFmtId="164" fontId="4" fillId="4" borderId="7" xfId="1" applyNumberFormat="1" applyFont="1" applyFill="1" applyBorder="1"/>
    <xf numFmtId="164" fontId="4" fillId="4" borderId="8" xfId="1" applyNumberFormat="1" applyFont="1" applyFill="1" applyBorder="1"/>
    <xf numFmtId="0" fontId="0" fillId="0" borderId="0" xfId="0" applyAlignment="1">
      <alignment horizontal="center"/>
    </xf>
    <xf numFmtId="164" fontId="5" fillId="3" borderId="1" xfId="1" applyNumberFormat="1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 wrapText="1"/>
    </xf>
    <xf numFmtId="164" fontId="5" fillId="3" borderId="5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4" fontId="0" fillId="0" borderId="3" xfId="0" applyNumberFormat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44" fontId="0" fillId="0" borderId="4" xfId="0" applyNumberFormat="1" applyBorder="1"/>
    <xf numFmtId="0" fontId="0" fillId="0" borderId="4" xfId="0" applyBorder="1"/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44" fontId="0" fillId="0" borderId="0" xfId="0" applyNumberFormat="1"/>
    <xf numFmtId="10" fontId="0" fillId="0" borderId="0" xfId="3" applyNumberFormat="1" applyFont="1"/>
    <xf numFmtId="164" fontId="0" fillId="0" borderId="21" xfId="1" applyNumberFormat="1" applyFont="1" applyBorder="1"/>
    <xf numFmtId="164" fontId="5" fillId="3" borderId="19" xfId="1" applyNumberFormat="1" applyFont="1" applyFill="1" applyBorder="1" applyAlignment="1">
      <alignment horizontal="center" vertical="center" wrapText="1"/>
    </xf>
    <xf numFmtId="8" fontId="0" fillId="0" borderId="0" xfId="0" applyNumberFormat="1"/>
    <xf numFmtId="164" fontId="0" fillId="0" borderId="0" xfId="0" applyNumberFormat="1"/>
    <xf numFmtId="16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8" fillId="0" borderId="8" xfId="0" applyNumberFormat="1" applyFont="1" applyBorder="1" applyAlignment="1">
      <alignment horizontal="center"/>
    </xf>
    <xf numFmtId="164" fontId="0" fillId="0" borderId="17" xfId="0" applyNumberFormat="1" applyBorder="1"/>
    <xf numFmtId="9" fontId="0" fillId="0" borderId="20" xfId="3" applyFont="1" applyBorder="1"/>
    <xf numFmtId="44" fontId="0" fillId="0" borderId="17" xfId="2" applyFont="1" applyBorder="1"/>
    <xf numFmtId="164" fontId="4" fillId="7" borderId="10" xfId="0" applyNumberFormat="1" applyFont="1" applyFill="1" applyBorder="1"/>
    <xf numFmtId="164" fontId="4" fillId="7" borderId="7" xfId="0" applyNumberFormat="1" applyFont="1" applyFill="1" applyBorder="1" applyAlignment="1">
      <alignment horizontal="center"/>
    </xf>
    <xf numFmtId="1" fontId="8" fillId="7" borderId="8" xfId="0" applyNumberFormat="1" applyFont="1" applyFill="1" applyBorder="1" applyAlignment="1">
      <alignment horizontal="center"/>
    </xf>
    <xf numFmtId="8" fontId="4" fillId="7" borderId="7" xfId="0" applyNumberFormat="1" applyFont="1" applyFill="1" applyBorder="1"/>
    <xf numFmtId="9" fontId="4" fillId="7" borderId="8" xfId="3" applyFont="1" applyFill="1" applyBorder="1"/>
    <xf numFmtId="8" fontId="4" fillId="7" borderId="10" xfId="2" applyNumberFormat="1" applyFont="1" applyFill="1" applyBorder="1"/>
    <xf numFmtId="8" fontId="4" fillId="7" borderId="8" xfId="0" applyNumberFormat="1" applyFont="1" applyFill="1" applyBorder="1"/>
    <xf numFmtId="167" fontId="0" fillId="0" borderId="17" xfId="0" applyNumberFormat="1" applyBorder="1"/>
    <xf numFmtId="164" fontId="6" fillId="3" borderId="18" xfId="1" applyNumberFormat="1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 wrapText="1"/>
    </xf>
    <xf numFmtId="164" fontId="6" fillId="6" borderId="22" xfId="1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1" fontId="8" fillId="0" borderId="20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4" fontId="3" fillId="2" borderId="15" xfId="0" applyNumberFormat="1" applyFont="1" applyFill="1" applyBorder="1"/>
    <xf numFmtId="164" fontId="3" fillId="2" borderId="11" xfId="0" applyNumberFormat="1" applyFont="1" applyFill="1" applyBorder="1"/>
    <xf numFmtId="164" fontId="6" fillId="3" borderId="16" xfId="1" applyNumberFormat="1" applyFont="1" applyFill="1" applyBorder="1" applyAlignment="1">
      <alignment horizontal="center" vertical="center" wrapText="1"/>
    </xf>
    <xf numFmtId="164" fontId="6" fillId="3" borderId="22" xfId="1" applyNumberFormat="1" applyFont="1" applyFill="1" applyBorder="1" applyAlignment="1">
      <alignment horizontal="center" vertical="center" wrapText="1"/>
    </xf>
    <xf numFmtId="0" fontId="0" fillId="0" borderId="20" xfId="0" applyBorder="1"/>
    <xf numFmtId="8" fontId="0" fillId="0" borderId="17" xfId="0" applyNumberFormat="1" applyBorder="1"/>
    <xf numFmtId="8" fontId="3" fillId="2" borderId="15" xfId="0" applyNumberFormat="1" applyFont="1" applyFill="1" applyBorder="1"/>
    <xf numFmtId="8" fontId="3" fillId="2" borderId="11" xfId="0" applyNumberFormat="1" applyFont="1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44" fontId="0" fillId="0" borderId="24" xfId="2" applyFont="1" applyBorder="1" applyAlignment="1">
      <alignment horizontal="center" vertical="center"/>
    </xf>
    <xf numFmtId="9" fontId="0" fillId="0" borderId="24" xfId="3" applyFont="1" applyBorder="1"/>
    <xf numFmtId="165" fontId="0" fillId="0" borderId="24" xfId="2" applyNumberFormat="1" applyFont="1" applyBorder="1"/>
    <xf numFmtId="164" fontId="0" fillId="0" borderId="24" xfId="1" applyNumberFormat="1" applyFont="1" applyBorder="1"/>
    <xf numFmtId="164" fontId="0" fillId="0" borderId="25" xfId="1" applyNumberFormat="1" applyFon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44" fontId="0" fillId="0" borderId="26" xfId="2" applyFont="1" applyBorder="1" applyAlignment="1">
      <alignment horizontal="center" vertical="center"/>
    </xf>
    <xf numFmtId="9" fontId="0" fillId="0" borderId="26" xfId="3" applyFont="1" applyBorder="1"/>
    <xf numFmtId="165" fontId="0" fillId="0" borderId="26" xfId="3" applyNumberFormat="1" applyFont="1" applyBorder="1"/>
    <xf numFmtId="164" fontId="0" fillId="0" borderId="26" xfId="1" applyNumberFormat="1" applyFont="1" applyBorder="1"/>
    <xf numFmtId="165" fontId="0" fillId="0" borderId="26" xfId="2" applyNumberFormat="1" applyFont="1" applyBorder="1"/>
    <xf numFmtId="0" fontId="4" fillId="4" borderId="7" xfId="0" applyFont="1" applyFill="1" applyBorder="1" applyAlignment="1">
      <alignment horizontal="left" vertical="center"/>
    </xf>
    <xf numFmtId="44" fontId="4" fillId="4" borderId="7" xfId="2" applyFont="1" applyFill="1" applyBorder="1" applyAlignment="1">
      <alignment horizontal="center" vertical="center"/>
    </xf>
    <xf numFmtId="166" fontId="4" fillId="4" borderId="7" xfId="3" applyNumberFormat="1" applyFont="1" applyFill="1" applyBorder="1"/>
    <xf numFmtId="164" fontId="4" fillId="5" borderId="7" xfId="0" applyNumberFormat="1" applyFont="1" applyFill="1" applyBorder="1"/>
    <xf numFmtId="8" fontId="0" fillId="5" borderId="10" xfId="0" applyNumberFormat="1" applyFill="1" applyBorder="1"/>
    <xf numFmtId="8" fontId="4" fillId="5" borderId="7" xfId="0" applyNumberFormat="1" applyFont="1" applyFill="1" applyBorder="1"/>
    <xf numFmtId="0" fontId="0" fillId="0" borderId="28" xfId="0" applyBorder="1" applyAlignment="1">
      <alignment horizontal="center" vertical="center"/>
    </xf>
    <xf numFmtId="0" fontId="0" fillId="0" borderId="28" xfId="0" applyBorder="1"/>
    <xf numFmtId="8" fontId="2" fillId="0" borderId="28" xfId="0" applyNumberFormat="1" applyFont="1" applyBorder="1" applyAlignment="1">
      <alignment horizontal="center"/>
    </xf>
    <xf numFmtId="9" fontId="0" fillId="0" borderId="28" xfId="3" applyFont="1" applyBorder="1"/>
    <xf numFmtId="44" fontId="0" fillId="0" borderId="28" xfId="0" applyNumberFormat="1" applyBorder="1"/>
    <xf numFmtId="164" fontId="0" fillId="0" borderId="29" xfId="1" applyNumberFormat="1" applyFont="1" applyBorder="1"/>
    <xf numFmtId="0" fontId="0" fillId="0" borderId="30" xfId="0" applyBorder="1" applyAlignment="1">
      <alignment horizontal="center" vertical="center"/>
    </xf>
    <xf numFmtId="8" fontId="4" fillId="5" borderId="10" xfId="0" applyNumberFormat="1" applyFont="1" applyFill="1" applyBorder="1"/>
    <xf numFmtId="9" fontId="3" fillId="2" borderId="12" xfId="3" applyFont="1" applyFill="1" applyBorder="1"/>
    <xf numFmtId="9" fontId="0" fillId="0" borderId="8" xfId="3" applyFont="1" applyBorder="1"/>
    <xf numFmtId="44" fontId="9" fillId="0" borderId="20" xfId="0" applyNumberFormat="1" applyFont="1" applyBorder="1" applyAlignment="1">
      <alignment horizontal="center"/>
    </xf>
    <xf numFmtId="44" fontId="4" fillId="0" borderId="10" xfId="0" applyNumberFormat="1" applyFont="1" applyBorder="1"/>
    <xf numFmtId="44" fontId="4" fillId="0" borderId="10" xfId="3" applyNumberFormat="1" applyFont="1" applyBorder="1"/>
    <xf numFmtId="44" fontId="9" fillId="0" borderId="8" xfId="0" applyNumberFormat="1" applyFont="1" applyBorder="1" applyAlignment="1">
      <alignment horizontal="center"/>
    </xf>
    <xf numFmtId="44" fontId="3" fillId="2" borderId="15" xfId="0" applyNumberFormat="1" applyFont="1" applyFill="1" applyBorder="1"/>
    <xf numFmtId="44" fontId="3" fillId="2" borderId="12" xfId="0" applyNumberFormat="1" applyFont="1" applyFill="1" applyBorder="1"/>
    <xf numFmtId="44" fontId="4" fillId="5" borderId="7" xfId="0" applyNumberFormat="1" applyFont="1" applyFill="1" applyBorder="1"/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left"/>
    </xf>
    <xf numFmtId="44" fontId="0" fillId="0" borderId="28" xfId="2" applyFont="1" applyBorder="1"/>
    <xf numFmtId="165" fontId="0" fillId="0" borderId="28" xfId="3" applyNumberFormat="1" applyFont="1" applyBorder="1" applyAlignment="1">
      <alignment horizontal="right"/>
    </xf>
    <xf numFmtId="164" fontId="0" fillId="0" borderId="28" xfId="1" applyNumberFormat="1" applyFont="1" applyBorder="1"/>
    <xf numFmtId="165" fontId="0" fillId="0" borderId="28" xfId="2" applyNumberFormat="1" applyFont="1" applyBorder="1"/>
    <xf numFmtId="0" fontId="4" fillId="4" borderId="14" xfId="0" applyFont="1" applyFill="1" applyBorder="1" applyAlignment="1">
      <alignment horizontal="left"/>
    </xf>
    <xf numFmtId="44" fontId="4" fillId="4" borderId="6" xfId="2" applyFont="1" applyFill="1" applyBorder="1"/>
    <xf numFmtId="165" fontId="4" fillId="4" borderId="7" xfId="3" applyNumberFormat="1" applyFont="1" applyFill="1" applyBorder="1" applyAlignment="1">
      <alignment horizontal="right"/>
    </xf>
    <xf numFmtId="164" fontId="4" fillId="4" borderId="7" xfId="0" applyNumberFormat="1" applyFont="1" applyFill="1" applyBorder="1"/>
    <xf numFmtId="164" fontId="4" fillId="4" borderId="8" xfId="0" applyNumberFormat="1" applyFont="1" applyFill="1" applyBorder="1"/>
    <xf numFmtId="168" fontId="4" fillId="2" borderId="12" xfId="0" applyNumberFormat="1" applyFont="1" applyFill="1" applyBorder="1" applyAlignment="1">
      <alignment horizontal="center"/>
    </xf>
    <xf numFmtId="1" fontId="11" fillId="0" borderId="0" xfId="0" applyNumberFormat="1" applyFont="1"/>
    <xf numFmtId="1" fontId="12" fillId="3" borderId="2" xfId="1" applyNumberFormat="1" applyFont="1" applyFill="1" applyBorder="1" applyAlignment="1">
      <alignment horizontal="center" vertical="center"/>
    </xf>
    <xf numFmtId="1" fontId="15" fillId="4" borderId="7" xfId="0" applyNumberFormat="1" applyFont="1" applyFill="1" applyBorder="1" applyAlignment="1">
      <alignment horizontal="center" vertical="center"/>
    </xf>
    <xf numFmtId="1" fontId="15" fillId="2" borderId="7" xfId="0" applyNumberFormat="1" applyFont="1" applyFill="1" applyBorder="1"/>
    <xf numFmtId="0" fontId="13" fillId="0" borderId="4" xfId="0" applyFont="1" applyBorder="1" applyAlignment="1">
      <alignment horizontal="left"/>
    </xf>
    <xf numFmtId="1" fontId="14" fillId="0" borderId="28" xfId="0" applyNumberFormat="1" applyFont="1" applyBorder="1" applyAlignment="1">
      <alignment horizontal="left"/>
    </xf>
    <xf numFmtId="1" fontId="15" fillId="4" borderId="7" xfId="0" applyNumberFormat="1" applyFont="1" applyFill="1" applyBorder="1" applyAlignment="1">
      <alignment horizontal="left" vertical="center"/>
    </xf>
    <xf numFmtId="1" fontId="13" fillId="0" borderId="26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/>
    </xf>
    <xf numFmtId="1" fontId="11" fillId="0" borderId="4" xfId="0" applyNumberFormat="1" applyFont="1" applyBorder="1" applyAlignment="1">
      <alignment horizontal="left" vertical="center"/>
    </xf>
    <xf numFmtId="1" fontId="11" fillId="0" borderId="26" xfId="0" applyNumberFormat="1" applyFont="1" applyBorder="1" applyAlignment="1">
      <alignment horizontal="left" vertical="center"/>
    </xf>
    <xf numFmtId="1" fontId="11" fillId="0" borderId="28" xfId="0" applyNumberFormat="1" applyFont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8" fontId="0" fillId="0" borderId="4" xfId="0" applyNumberFormat="1" applyBorder="1"/>
    <xf numFmtId="0" fontId="13" fillId="8" borderId="4" xfId="0" applyFont="1" applyFill="1" applyBorder="1" applyAlignment="1">
      <alignment horizontal="left"/>
    </xf>
    <xf numFmtId="0" fontId="0" fillId="0" borderId="32" xfId="0" applyBorder="1" applyAlignment="1">
      <alignment horizontal="center" vertical="center"/>
    </xf>
    <xf numFmtId="8" fontId="2" fillId="0" borderId="26" xfId="0" applyNumberFormat="1" applyFont="1" applyBorder="1" applyAlignment="1">
      <alignment horizontal="center" vertical="center"/>
    </xf>
    <xf numFmtId="44" fontId="0" fillId="0" borderId="26" xfId="0" applyNumberFormat="1" applyBorder="1"/>
    <xf numFmtId="0" fontId="0" fillId="0" borderId="26" xfId="0" applyBorder="1"/>
    <xf numFmtId="0" fontId="13" fillId="0" borderId="28" xfId="0" applyFont="1" applyBorder="1" applyAlignment="1">
      <alignment horizontal="left"/>
    </xf>
    <xf numFmtId="44" fontId="9" fillId="0" borderId="20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8" fontId="0" fillId="0" borderId="0" xfId="0" applyNumberFormat="1" applyAlignment="1">
      <alignment horizontal="center" vertical="center"/>
    </xf>
    <xf numFmtId="9" fontId="0" fillId="0" borderId="20" xfId="3" applyFont="1" applyBorder="1" applyAlignment="1">
      <alignment horizontal="center" vertical="center"/>
    </xf>
    <xf numFmtId="44" fontId="0" fillId="0" borderId="17" xfId="2" applyFont="1" applyBorder="1" applyAlignment="1">
      <alignment horizontal="center" vertical="center"/>
    </xf>
    <xf numFmtId="8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164" fontId="0" fillId="0" borderId="26" xfId="1" applyNumberFormat="1" applyFont="1" applyBorder="1" applyAlignment="1">
      <alignment horizontal="center" vertical="center"/>
    </xf>
    <xf numFmtId="165" fontId="0" fillId="0" borderId="28" xfId="2" applyNumberFormat="1" applyFont="1" applyBorder="1" applyAlignment="1">
      <alignment horizontal="center" vertical="center"/>
    </xf>
    <xf numFmtId="165" fontId="0" fillId="0" borderId="26" xfId="2" applyNumberFormat="1" applyFont="1" applyBorder="1" applyAlignment="1">
      <alignment horizontal="center" vertical="center"/>
    </xf>
    <xf numFmtId="164" fontId="0" fillId="0" borderId="29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44" fontId="0" fillId="0" borderId="28" xfId="2" applyFont="1" applyBorder="1" applyAlignment="1">
      <alignment horizontal="center" vertical="center"/>
    </xf>
    <xf numFmtId="44" fontId="0" fillId="0" borderId="26" xfId="2" applyFont="1" applyBorder="1" applyAlignment="1">
      <alignment horizontal="center" vertical="center"/>
    </xf>
    <xf numFmtId="9" fontId="0" fillId="0" borderId="28" xfId="3" applyFont="1" applyBorder="1" applyAlignment="1">
      <alignment horizontal="right" vertical="center"/>
    </xf>
    <xf numFmtId="9" fontId="0" fillId="0" borderId="26" xfId="3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5" fontId="0" fillId="0" borderId="28" xfId="3" applyNumberFormat="1" applyFont="1" applyBorder="1" applyAlignment="1">
      <alignment horizontal="center" vertical="center"/>
    </xf>
    <xf numFmtId="165" fontId="0" fillId="0" borderId="26" xfId="3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/>
    <xf numFmtId="0" fontId="0" fillId="8" borderId="4" xfId="0" applyFill="1" applyBorder="1" applyAlignment="1">
      <alignment horizontal="left"/>
    </xf>
    <xf numFmtId="8" fontId="2" fillId="0" borderId="2" xfId="0" applyNumberFormat="1" applyFont="1" applyBorder="1" applyAlignment="1">
      <alignment horizontal="center" vertical="center"/>
    </xf>
    <xf numFmtId="8" fontId="2" fillId="0" borderId="26" xfId="0" applyNumberFormat="1" applyFont="1" applyBorder="1" applyAlignment="1">
      <alignment horizontal="center" vertical="center"/>
    </xf>
    <xf numFmtId="165" fontId="0" fillId="0" borderId="2" xfId="2" applyNumberFormat="1" applyFont="1" applyBorder="1" applyAlignment="1">
      <alignment horizontal="center"/>
    </xf>
    <xf numFmtId="165" fontId="0" fillId="0" borderId="26" xfId="2" applyNumberFormat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164" fontId="0" fillId="0" borderId="29" xfId="1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9" fontId="0" fillId="0" borderId="28" xfId="3" applyFont="1" applyBorder="1" applyAlignment="1">
      <alignment horizontal="center" vertical="center"/>
    </xf>
    <xf numFmtId="9" fontId="0" fillId="0" borderId="26" xfId="3" applyFont="1" applyBorder="1" applyAlignment="1">
      <alignment horizontal="center" vertical="center"/>
    </xf>
    <xf numFmtId="8" fontId="2" fillId="0" borderId="28" xfId="0" applyNumberFormat="1" applyFont="1" applyBorder="1" applyAlignment="1">
      <alignment horizontal="center" vertical="center"/>
    </xf>
    <xf numFmtId="44" fontId="0" fillId="0" borderId="28" xfId="0" applyNumberFormat="1" applyBorder="1" applyAlignment="1">
      <alignment horizontal="center" vertical="center"/>
    </xf>
    <xf numFmtId="44" fontId="0" fillId="0" borderId="26" xfId="0" applyNumberFormat="1" applyBorder="1" applyAlignment="1">
      <alignment horizontal="center" vertical="center"/>
    </xf>
    <xf numFmtId="9" fontId="0" fillId="0" borderId="2" xfId="3" applyFont="1" applyBorder="1" applyAlignment="1">
      <alignment horizontal="right"/>
    </xf>
    <xf numFmtId="9" fontId="0" fillId="0" borderId="26" xfId="3" applyFont="1" applyBorder="1" applyAlignment="1">
      <alignment horizontal="right"/>
    </xf>
    <xf numFmtId="8" fontId="0" fillId="0" borderId="17" xfId="0" applyNumberFormat="1" applyBorder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9" fontId="0" fillId="0" borderId="20" xfId="3" applyFont="1" applyBorder="1" applyAlignment="1">
      <alignment horizontal="right" vertical="center"/>
    </xf>
    <xf numFmtId="44" fontId="0" fillId="0" borderId="17" xfId="2" applyFont="1" applyBorder="1" applyAlignment="1">
      <alignment horizontal="right" vertical="center"/>
    </xf>
    <xf numFmtId="44" fontId="9" fillId="0" borderId="20" xfId="0" applyNumberFormat="1" applyFont="1" applyBorder="1" applyAlignment="1">
      <alignment horizontal="right" vertical="center"/>
    </xf>
    <xf numFmtId="165" fontId="0" fillId="0" borderId="28" xfId="3" applyNumberFormat="1" applyFont="1" applyBorder="1" applyAlignment="1">
      <alignment horizontal="right" vertical="center"/>
    </xf>
    <xf numFmtId="164" fontId="0" fillId="0" borderId="28" xfId="1" applyNumberFormat="1" applyFont="1" applyBorder="1" applyAlignment="1">
      <alignment horizontal="right" vertical="center"/>
    </xf>
    <xf numFmtId="165" fontId="0" fillId="0" borderId="28" xfId="2" applyNumberFormat="1" applyFont="1" applyBorder="1" applyAlignment="1">
      <alignment horizontal="right" vertical="center"/>
    </xf>
    <xf numFmtId="164" fontId="0" fillId="0" borderId="29" xfId="1" applyNumberFormat="1" applyFont="1" applyBorder="1" applyAlignment="1">
      <alignment horizontal="right" vertical="center"/>
    </xf>
    <xf numFmtId="165" fontId="0" fillId="0" borderId="26" xfId="3" applyNumberFormat="1" applyFont="1" applyBorder="1" applyAlignment="1">
      <alignment horizontal="right" vertical="center"/>
    </xf>
    <xf numFmtId="164" fontId="0" fillId="0" borderId="26" xfId="1" applyNumberFormat="1" applyFont="1" applyBorder="1" applyAlignment="1">
      <alignment horizontal="right" vertical="center"/>
    </xf>
    <xf numFmtId="165" fontId="0" fillId="0" borderId="26" xfId="2" applyNumberFormat="1" applyFont="1" applyBorder="1" applyAlignment="1">
      <alignment horizontal="right" vertical="center"/>
    </xf>
    <xf numFmtId="164" fontId="0" fillId="0" borderId="21" xfId="1" applyNumberFormat="1" applyFont="1" applyBorder="1" applyAlignment="1">
      <alignment horizontal="right" vertical="center"/>
    </xf>
    <xf numFmtId="167" fontId="0" fillId="0" borderId="17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4" fillId="7" borderId="7" xfId="0" applyNumberFormat="1" applyFont="1" applyFill="1" applyBorder="1"/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71DF-BE60-4895-8C76-340BE7A6130E}">
  <dimension ref="C1:Y66"/>
  <sheetViews>
    <sheetView topLeftCell="B1" zoomScale="62" zoomScaleNormal="130" workbookViewId="0">
      <selection activeCell="G38" sqref="G38"/>
    </sheetView>
  </sheetViews>
  <sheetFormatPr defaultColWidth="8.88671875" defaultRowHeight="14.4" x14ac:dyDescent="0.3"/>
  <cols>
    <col min="1" max="1" width="3.6640625" customWidth="1"/>
    <col min="2" max="2" width="4" customWidth="1"/>
    <col min="3" max="3" width="18.109375" style="31" customWidth="1"/>
    <col min="4" max="4" width="13.109375" style="31" customWidth="1"/>
    <col min="5" max="5" width="8" bestFit="1" customWidth="1"/>
    <col min="6" max="6" width="14.44140625" style="135" customWidth="1"/>
    <col min="7" max="7" width="65.21875" customWidth="1"/>
    <col min="8" max="8" width="13.44140625" bestFit="1" customWidth="1"/>
    <col min="10" max="10" width="11" bestFit="1" customWidth="1"/>
    <col min="11" max="11" width="9.44140625" bestFit="1" customWidth="1"/>
    <col min="12" max="12" width="9.88671875" bestFit="1" customWidth="1"/>
    <col min="13" max="13" width="9.44140625" bestFit="1" customWidth="1"/>
    <col min="14" max="16" width="11.5546875" customWidth="1"/>
    <col min="17" max="17" width="11.33203125" style="31" bestFit="1" customWidth="1"/>
    <col min="18" max="20" width="13.109375" customWidth="1"/>
    <col min="21" max="21" width="11.5546875" customWidth="1"/>
    <col min="22" max="22" width="13.77734375" customWidth="1"/>
    <col min="23" max="23" width="10" bestFit="1" customWidth="1"/>
    <col min="25" max="25" width="92" bestFit="1" customWidth="1"/>
  </cols>
  <sheetData>
    <row r="1" spans="3:25" ht="24" thickBot="1" x14ac:dyDescent="0.5">
      <c r="Q1" s="54"/>
    </row>
    <row r="2" spans="3:25" ht="43.8" thickBot="1" x14ac:dyDescent="0.35">
      <c r="C2" s="32" t="s">
        <v>0</v>
      </c>
      <c r="D2" s="33" t="s">
        <v>1</v>
      </c>
      <c r="E2" s="33" t="s">
        <v>1</v>
      </c>
      <c r="F2" s="136" t="s">
        <v>67</v>
      </c>
      <c r="G2" s="34" t="s">
        <v>2</v>
      </c>
      <c r="H2" s="35" t="s">
        <v>3</v>
      </c>
      <c r="I2" s="35" t="s">
        <v>4</v>
      </c>
      <c r="J2" s="35" t="s">
        <v>5</v>
      </c>
      <c r="K2" s="35" t="s">
        <v>6</v>
      </c>
      <c r="L2" s="35" t="s">
        <v>7</v>
      </c>
      <c r="M2" s="50" t="s">
        <v>8</v>
      </c>
      <c r="N2" s="67" t="s">
        <v>34</v>
      </c>
      <c r="O2" s="68" t="s">
        <v>41</v>
      </c>
      <c r="P2" s="68" t="s">
        <v>42</v>
      </c>
      <c r="Q2" s="69" t="s">
        <v>43</v>
      </c>
      <c r="R2" s="78" t="s">
        <v>53</v>
      </c>
      <c r="S2" s="68" t="s">
        <v>47</v>
      </c>
      <c r="T2" s="68" t="s">
        <v>49</v>
      </c>
      <c r="U2" s="68" t="s">
        <v>48</v>
      </c>
      <c r="V2" s="79" t="s">
        <v>50</v>
      </c>
      <c r="W2" s="78" t="s">
        <v>51</v>
      </c>
      <c r="X2" s="79" t="s">
        <v>52</v>
      </c>
    </row>
    <row r="3" spans="3:25" x14ac:dyDescent="0.3">
      <c r="C3" s="176" t="s">
        <v>9</v>
      </c>
      <c r="D3" s="36" t="s">
        <v>24</v>
      </c>
      <c r="E3" s="183" t="s">
        <v>10</v>
      </c>
      <c r="F3" s="139">
        <v>17559294673</v>
      </c>
      <c r="G3" s="37" t="s">
        <v>11</v>
      </c>
      <c r="H3" s="8">
        <v>9500</v>
      </c>
      <c r="I3" s="18">
        <f t="shared" ref="I3:I11" si="0">H3/H$29</f>
        <v>0.15079365079365079</v>
      </c>
      <c r="J3" s="19"/>
      <c r="K3" s="38"/>
      <c r="L3" s="39"/>
      <c r="M3" s="49"/>
      <c r="N3" s="70"/>
      <c r="Q3" s="71"/>
      <c r="R3" s="81">
        <f t="shared" ref="R3:R11" si="1">H3/J$35</f>
        <v>306.45161290322579</v>
      </c>
      <c r="S3" s="51">
        <f t="shared" ref="S3:S11" si="2">R3*M$35</f>
        <v>1532.258064516129</v>
      </c>
      <c r="T3" s="51">
        <v>1603.54</v>
      </c>
      <c r="U3" s="51">
        <f t="shared" ref="U3:U11" si="3">T3-S3</f>
        <v>71.281935483870939</v>
      </c>
      <c r="V3" s="57">
        <f t="shared" ref="V3:V7" si="4">U3/S3</f>
        <v>4.6520842105263138E-2</v>
      </c>
      <c r="W3" s="70"/>
      <c r="X3" s="80"/>
      <c r="Y3" t="s">
        <v>64</v>
      </c>
    </row>
    <row r="4" spans="3:25" x14ac:dyDescent="0.3">
      <c r="C4" s="175"/>
      <c r="D4" s="92"/>
      <c r="E4" s="180"/>
      <c r="F4" s="139"/>
      <c r="G4" s="94"/>
      <c r="H4" s="152"/>
      <c r="I4" s="96"/>
      <c r="J4" s="99"/>
      <c r="K4" s="153"/>
      <c r="L4" s="154"/>
      <c r="M4" s="49"/>
      <c r="N4" s="70"/>
      <c r="Q4" s="72"/>
      <c r="R4" s="81"/>
      <c r="S4" s="51"/>
      <c r="T4" s="51"/>
      <c r="U4" s="51"/>
      <c r="V4" s="57"/>
      <c r="W4" s="70"/>
      <c r="X4" s="80"/>
    </row>
    <row r="5" spans="3:25" x14ac:dyDescent="0.3">
      <c r="C5" s="175"/>
      <c r="D5" s="40" t="s">
        <v>24</v>
      </c>
      <c r="E5" s="179" t="s">
        <v>10</v>
      </c>
      <c r="F5" s="139">
        <v>17559324373</v>
      </c>
      <c r="G5" s="42" t="s">
        <v>28</v>
      </c>
      <c r="H5" s="1">
        <v>1500</v>
      </c>
      <c r="I5" s="5">
        <f t="shared" si="0"/>
        <v>2.3809523809523808E-2</v>
      </c>
      <c r="J5" s="5"/>
      <c r="K5" s="41"/>
      <c r="L5" s="42"/>
      <c r="M5" s="20"/>
      <c r="N5" s="70"/>
      <c r="Q5" s="72"/>
      <c r="R5" s="81">
        <f t="shared" si="1"/>
        <v>48.387096774193552</v>
      </c>
      <c r="S5" s="51">
        <f t="shared" si="2"/>
        <v>241.93548387096774</v>
      </c>
      <c r="T5" s="51">
        <v>276.52</v>
      </c>
      <c r="U5" s="51">
        <f t="shared" si="3"/>
        <v>34.584516129032238</v>
      </c>
      <c r="V5" s="57">
        <f t="shared" si="4"/>
        <v>0.14294933333333326</v>
      </c>
      <c r="W5" s="70"/>
      <c r="X5" s="80"/>
      <c r="Y5" t="s">
        <v>64</v>
      </c>
    </row>
    <row r="6" spans="3:25" x14ac:dyDescent="0.3">
      <c r="C6" s="175"/>
      <c r="D6" s="106"/>
      <c r="E6" s="180"/>
      <c r="F6" s="155"/>
      <c r="G6" s="107"/>
      <c r="H6" s="108"/>
      <c r="I6" s="109"/>
      <c r="J6" s="109"/>
      <c r="K6" s="110"/>
      <c r="L6" s="107"/>
      <c r="M6" s="111"/>
      <c r="N6" s="70"/>
      <c r="Q6" s="72"/>
      <c r="R6" s="81"/>
      <c r="S6" s="51"/>
      <c r="T6" s="51"/>
      <c r="U6" s="51"/>
      <c r="V6" s="57"/>
      <c r="W6" s="70"/>
      <c r="X6" s="80"/>
    </row>
    <row r="7" spans="3:25" ht="15" thickBot="1" x14ac:dyDescent="0.35">
      <c r="C7" s="175"/>
      <c r="D7" s="106" t="s">
        <v>25</v>
      </c>
      <c r="E7" s="106" t="s">
        <v>12</v>
      </c>
      <c r="F7" s="140">
        <v>6905931065575</v>
      </c>
      <c r="G7" s="107" t="s">
        <v>26</v>
      </c>
      <c r="H7" s="108">
        <v>10000</v>
      </c>
      <c r="I7" s="109">
        <f t="shared" si="0"/>
        <v>0.15873015873015872</v>
      </c>
      <c r="J7" s="109"/>
      <c r="K7" s="110"/>
      <c r="L7" s="107"/>
      <c r="M7" s="111"/>
      <c r="N7" s="70"/>
      <c r="Q7" s="72"/>
      <c r="R7" s="81">
        <f t="shared" si="1"/>
        <v>322.58064516129031</v>
      </c>
      <c r="S7" s="51">
        <f t="shared" si="2"/>
        <v>1612.9032258064515</v>
      </c>
      <c r="T7" s="51">
        <v>2161.7800000000002</v>
      </c>
      <c r="U7" s="51">
        <f t="shared" si="3"/>
        <v>548.87677419354873</v>
      </c>
      <c r="V7" s="57">
        <f t="shared" si="4"/>
        <v>0.34030360000000026</v>
      </c>
      <c r="W7" s="70"/>
      <c r="X7" s="80"/>
      <c r="Y7" t="s">
        <v>63</v>
      </c>
    </row>
    <row r="8" spans="3:25" s="4" customFormat="1" ht="15" thickBot="1" x14ac:dyDescent="0.35">
      <c r="C8" s="24" t="s">
        <v>13</v>
      </c>
      <c r="D8" s="25"/>
      <c r="E8" s="25"/>
      <c r="F8" s="141"/>
      <c r="G8" s="26"/>
      <c r="H8" s="27">
        <f>SUM(H3:H7)</f>
        <v>21000</v>
      </c>
      <c r="I8" s="102">
        <f t="shared" si="0"/>
        <v>0.33333333333333331</v>
      </c>
      <c r="J8" s="28">
        <v>400</v>
      </c>
      <c r="K8" s="29">
        <v>50</v>
      </c>
      <c r="L8" s="28">
        <v>45</v>
      </c>
      <c r="M8" s="30">
        <f>H8/L8</f>
        <v>466.66666666666669</v>
      </c>
      <c r="N8" s="59">
        <f>M8/J$35</f>
        <v>15.053763440860216</v>
      </c>
      <c r="O8" s="103">
        <f>N8*M$35</f>
        <v>75.268817204301087</v>
      </c>
      <c r="P8" s="103">
        <v>90</v>
      </c>
      <c r="Q8" s="55">
        <f>O8-P8</f>
        <v>-14.731182795698913</v>
      </c>
      <c r="R8" s="104">
        <f t="shared" si="1"/>
        <v>677.41935483870964</v>
      </c>
      <c r="S8" s="105">
        <f t="shared" si="2"/>
        <v>3387.0967741935483</v>
      </c>
      <c r="T8" s="105">
        <f>SUM(T3:T7)</f>
        <v>4041.84</v>
      </c>
      <c r="U8" s="122">
        <f t="shared" si="3"/>
        <v>654.74322580645185</v>
      </c>
      <c r="V8" s="115">
        <f t="shared" ref="V8:V20" si="5">U8/S8</f>
        <v>0.19330514285714293</v>
      </c>
      <c r="W8" s="117">
        <f>T8/P8</f>
        <v>44.909333333333336</v>
      </c>
      <c r="X8" s="119">
        <f>W8-L8</f>
        <v>-9.0666666666663787E-2</v>
      </c>
    </row>
    <row r="9" spans="3:25" x14ac:dyDescent="0.3">
      <c r="C9" s="112" t="s">
        <v>14</v>
      </c>
      <c r="D9" s="92" t="s">
        <v>24</v>
      </c>
      <c r="E9" s="92" t="s">
        <v>10</v>
      </c>
      <c r="F9" s="142">
        <v>23968989759</v>
      </c>
      <c r="G9" s="94" t="s">
        <v>71</v>
      </c>
      <c r="H9" s="95">
        <v>4000</v>
      </c>
      <c r="I9" s="96">
        <f t="shared" si="0"/>
        <v>6.3492063492063489E-2</v>
      </c>
      <c r="J9" s="99">
        <v>700</v>
      </c>
      <c r="K9" s="98">
        <f t="shared" ref="K9:K22" si="6">H9/J9</f>
        <v>5.7142857142857144</v>
      </c>
      <c r="L9" s="99">
        <v>34</v>
      </c>
      <c r="M9" s="49">
        <f t="shared" ref="M9:M16" si="7">H9/L9</f>
        <v>117.64705882352941</v>
      </c>
      <c r="N9" s="66">
        <f>M9/J$35</f>
        <v>3.795066413662239</v>
      </c>
      <c r="O9" s="74">
        <f>N9*M$35</f>
        <v>18.975332068311197</v>
      </c>
      <c r="P9" s="74">
        <v>15</v>
      </c>
      <c r="Q9" s="75">
        <f>O9-P9</f>
        <v>3.9753320683111966</v>
      </c>
      <c r="R9" s="81">
        <f t="shared" si="1"/>
        <v>129.03225806451613</v>
      </c>
      <c r="S9" s="51">
        <f t="shared" si="2"/>
        <v>645.16129032258061</v>
      </c>
      <c r="T9" s="51">
        <v>701.44</v>
      </c>
      <c r="U9" s="51">
        <f t="shared" si="3"/>
        <v>56.278709677419442</v>
      </c>
      <c r="V9" s="57">
        <f t="shared" si="5"/>
        <v>8.7232000000000143E-2</v>
      </c>
      <c r="W9" s="58">
        <f>T9/P9</f>
        <v>46.762666666666668</v>
      </c>
      <c r="X9" s="116">
        <f>W9-L9</f>
        <v>12.762666666666668</v>
      </c>
      <c r="Y9" t="s">
        <v>66</v>
      </c>
    </row>
    <row r="10" spans="3:25" x14ac:dyDescent="0.3">
      <c r="C10" s="43" t="s">
        <v>14</v>
      </c>
      <c r="D10" s="40" t="s">
        <v>24</v>
      </c>
      <c r="E10" s="40" t="s">
        <v>10</v>
      </c>
      <c r="F10" s="139">
        <v>22822606735</v>
      </c>
      <c r="G10" s="44" t="s">
        <v>72</v>
      </c>
      <c r="H10" s="2">
        <v>9000</v>
      </c>
      <c r="I10" s="5">
        <f t="shared" si="0"/>
        <v>0.14285714285714285</v>
      </c>
      <c r="J10" s="6">
        <v>600</v>
      </c>
      <c r="K10" s="7">
        <f t="shared" si="6"/>
        <v>15</v>
      </c>
      <c r="L10" s="6">
        <v>38.5</v>
      </c>
      <c r="M10" s="20">
        <f>H10/L10</f>
        <v>233.76623376623377</v>
      </c>
      <c r="N10" s="66">
        <f>M10/J$35</f>
        <v>7.5408462505236695</v>
      </c>
      <c r="O10" s="74">
        <f>N10*M$35</f>
        <v>37.704231252618349</v>
      </c>
      <c r="P10" s="74">
        <v>34</v>
      </c>
      <c r="Q10" s="75">
        <f t="shared" ref="Q10:Q24" si="8">O10-P10</f>
        <v>3.7042312526183494</v>
      </c>
      <c r="R10" s="81">
        <f t="shared" si="1"/>
        <v>290.32258064516128</v>
      </c>
      <c r="S10" s="51">
        <f t="shared" si="2"/>
        <v>1451.6129032258063</v>
      </c>
      <c r="T10" s="51">
        <v>1376.44</v>
      </c>
      <c r="U10" s="51">
        <f t="shared" si="3"/>
        <v>-75.172903225806294</v>
      </c>
      <c r="V10" s="57">
        <f t="shared" si="5"/>
        <v>-5.1785777777777674E-2</v>
      </c>
      <c r="W10" s="58">
        <f t="shared" ref="W10:W17" si="9">T10/P10</f>
        <v>40.483529411764707</v>
      </c>
      <c r="X10" s="116">
        <f>W10-L10</f>
        <v>1.9835294117647067</v>
      </c>
      <c r="Y10" t="s">
        <v>64</v>
      </c>
    </row>
    <row r="11" spans="3:25" x14ac:dyDescent="0.3">
      <c r="C11" s="181" t="s">
        <v>14</v>
      </c>
      <c r="D11" s="179" t="s">
        <v>24</v>
      </c>
      <c r="E11" s="179" t="s">
        <v>10</v>
      </c>
      <c r="F11" s="150">
        <v>23061435070</v>
      </c>
      <c r="G11" s="147" t="s">
        <v>69</v>
      </c>
      <c r="H11" s="171">
        <v>1000</v>
      </c>
      <c r="I11" s="173">
        <f t="shared" si="0"/>
        <v>1.5873015873015872E-2</v>
      </c>
      <c r="J11" s="177">
        <v>800</v>
      </c>
      <c r="K11" s="165">
        <f t="shared" si="6"/>
        <v>1.25</v>
      </c>
      <c r="L11" s="167">
        <v>38</v>
      </c>
      <c r="M11" s="169">
        <f t="shared" si="7"/>
        <v>26.315789473684209</v>
      </c>
      <c r="N11" s="162">
        <f>M11/J$35</f>
        <v>0.84889643463497444</v>
      </c>
      <c r="O11" s="163">
        <f>N11*M$35</f>
        <v>4.2444821731748723</v>
      </c>
      <c r="P11" s="163">
        <v>5</v>
      </c>
      <c r="Q11" s="164">
        <f t="shared" si="8"/>
        <v>-0.75551782682512769</v>
      </c>
      <c r="R11" s="161">
        <f t="shared" si="1"/>
        <v>32.258064516129032</v>
      </c>
      <c r="S11" s="158">
        <f t="shared" si="2"/>
        <v>161.29032258064515</v>
      </c>
      <c r="T11" s="158">
        <v>96.1</v>
      </c>
      <c r="U11" s="158">
        <f t="shared" si="3"/>
        <v>-65.190322580645159</v>
      </c>
      <c r="V11" s="159">
        <f t="shared" si="5"/>
        <v>-0.40417999999999998</v>
      </c>
      <c r="W11" s="160">
        <f t="shared" si="9"/>
        <v>19.22</v>
      </c>
      <c r="X11" s="156">
        <f>W11-L11</f>
        <v>-18.78</v>
      </c>
      <c r="Y11" s="157" t="s">
        <v>68</v>
      </c>
    </row>
    <row r="12" spans="3:25" x14ac:dyDescent="0.3">
      <c r="C12" s="182"/>
      <c r="D12" s="180"/>
      <c r="E12" s="180"/>
      <c r="F12" s="139">
        <v>23993375943</v>
      </c>
      <c r="G12" s="44" t="s">
        <v>37</v>
      </c>
      <c r="H12" s="172"/>
      <c r="I12" s="174"/>
      <c r="J12" s="178"/>
      <c r="K12" s="166"/>
      <c r="L12" s="168"/>
      <c r="M12" s="170"/>
      <c r="N12" s="162"/>
      <c r="O12" s="163"/>
      <c r="P12" s="163"/>
      <c r="Q12" s="164"/>
      <c r="R12" s="161"/>
      <c r="S12" s="158"/>
      <c r="T12" s="158"/>
      <c r="U12" s="158"/>
      <c r="V12" s="159"/>
      <c r="W12" s="160"/>
      <c r="X12" s="156"/>
      <c r="Y12" s="157"/>
    </row>
    <row r="13" spans="3:25" x14ac:dyDescent="0.3">
      <c r="C13" s="181" t="s">
        <v>14</v>
      </c>
      <c r="D13" s="179" t="s">
        <v>24</v>
      </c>
      <c r="E13" s="179" t="s">
        <v>10</v>
      </c>
      <c r="F13" s="150">
        <v>23267957688</v>
      </c>
      <c r="G13" s="147" t="s">
        <v>70</v>
      </c>
      <c r="H13" s="171">
        <v>1000</v>
      </c>
      <c r="I13" s="173">
        <f>H13/H$29</f>
        <v>1.5873015873015872E-2</v>
      </c>
      <c r="J13" s="167">
        <v>1000</v>
      </c>
      <c r="K13" s="165">
        <f t="shared" si="6"/>
        <v>1</v>
      </c>
      <c r="L13" s="167">
        <v>250</v>
      </c>
      <c r="M13" s="169">
        <f>H13/L13</f>
        <v>4</v>
      </c>
      <c r="N13" s="162">
        <f>M13/J$35</f>
        <v>0.12903225806451613</v>
      </c>
      <c r="O13" s="163">
        <f>N13*M$35</f>
        <v>0.64516129032258063</v>
      </c>
      <c r="P13" s="163">
        <v>1</v>
      </c>
      <c r="Q13" s="164">
        <f t="shared" si="8"/>
        <v>-0.35483870967741937</v>
      </c>
      <c r="R13" s="161">
        <f>H13/J$35</f>
        <v>32.258064516129032</v>
      </c>
      <c r="S13" s="158">
        <f>R13*M$35</f>
        <v>161.29032258064515</v>
      </c>
      <c r="T13" s="158">
        <v>175.7</v>
      </c>
      <c r="U13" s="158">
        <f t="shared" ref="U13:U20" si="10">T13-S13</f>
        <v>14.409677419354836</v>
      </c>
      <c r="V13" s="159">
        <f t="shared" si="5"/>
        <v>8.9339999999999989E-2</v>
      </c>
      <c r="W13" s="160">
        <f t="shared" si="9"/>
        <v>175.7</v>
      </c>
      <c r="X13" s="156">
        <f>W13-L13</f>
        <v>-74.300000000000011</v>
      </c>
      <c r="Y13" s="157" t="s">
        <v>68</v>
      </c>
    </row>
    <row r="14" spans="3:25" x14ac:dyDescent="0.3">
      <c r="C14" s="182"/>
      <c r="D14" s="180"/>
      <c r="E14" s="180"/>
      <c r="F14" s="139">
        <v>23993437149</v>
      </c>
      <c r="G14" s="44" t="s">
        <v>38</v>
      </c>
      <c r="H14" s="172"/>
      <c r="I14" s="174"/>
      <c r="J14" s="168"/>
      <c r="K14" s="166"/>
      <c r="L14" s="168"/>
      <c r="M14" s="170"/>
      <c r="N14" s="162"/>
      <c r="O14" s="163"/>
      <c r="P14" s="163"/>
      <c r="Q14" s="164"/>
      <c r="R14" s="161"/>
      <c r="S14" s="158"/>
      <c r="T14" s="158"/>
      <c r="U14" s="158"/>
      <c r="V14" s="159"/>
      <c r="W14" s="160"/>
      <c r="X14" s="156"/>
      <c r="Y14" s="157"/>
    </row>
    <row r="15" spans="3:25" x14ac:dyDescent="0.3">
      <c r="C15" s="43" t="s">
        <v>22</v>
      </c>
      <c r="D15" s="40" t="s">
        <v>24</v>
      </c>
      <c r="E15" s="40" t="s">
        <v>10</v>
      </c>
      <c r="F15" s="139">
        <v>22660883424</v>
      </c>
      <c r="G15" s="44" t="s">
        <v>30</v>
      </c>
      <c r="H15" s="2">
        <v>1500</v>
      </c>
      <c r="I15" s="5">
        <f t="shared" ref="I15:I22" si="11">H15/H$29</f>
        <v>2.3809523809523808E-2</v>
      </c>
      <c r="J15" s="6">
        <v>320</v>
      </c>
      <c r="K15" s="7">
        <f>H15/J15</f>
        <v>4.6875</v>
      </c>
      <c r="L15" s="6">
        <v>40</v>
      </c>
      <c r="M15" s="20">
        <f>H15/L15</f>
        <v>37.5</v>
      </c>
      <c r="N15" s="66">
        <f>M15/J$35</f>
        <v>1.2096774193548387</v>
      </c>
      <c r="O15" s="74">
        <f>N15*M$35</f>
        <v>6.0483870967741939</v>
      </c>
      <c r="P15" s="74">
        <v>9</v>
      </c>
      <c r="Q15" s="75">
        <f>O15-P15</f>
        <v>-2.9516129032258061</v>
      </c>
      <c r="R15" s="81">
        <f>H15/J$35</f>
        <v>48.387096774193552</v>
      </c>
      <c r="S15" s="51">
        <f>R15*M$35</f>
        <v>241.93548387096774</v>
      </c>
      <c r="T15" s="51">
        <v>285.16000000000003</v>
      </c>
      <c r="U15" s="51">
        <f>T15-S15</f>
        <v>43.224516129032281</v>
      </c>
      <c r="V15" s="57">
        <f>U15/S15</f>
        <v>0.17866133333333342</v>
      </c>
      <c r="W15" s="58">
        <f>T15/P15</f>
        <v>31.684444444444448</v>
      </c>
      <c r="X15" s="116">
        <f>W15-L15</f>
        <v>-8.3155555555555516</v>
      </c>
    </row>
    <row r="16" spans="3:25" x14ac:dyDescent="0.3">
      <c r="C16" s="43" t="s">
        <v>22</v>
      </c>
      <c r="D16" s="40" t="s">
        <v>24</v>
      </c>
      <c r="E16" s="40" t="s">
        <v>12</v>
      </c>
      <c r="F16" s="139">
        <v>21905808840</v>
      </c>
      <c r="G16" s="44" t="s">
        <v>35</v>
      </c>
      <c r="H16" s="14">
        <v>1500</v>
      </c>
      <c r="I16" s="15">
        <f t="shared" si="11"/>
        <v>2.3809523809523808E-2</v>
      </c>
      <c r="J16" s="16">
        <v>1000</v>
      </c>
      <c r="K16" s="7">
        <f t="shared" si="6"/>
        <v>1.5</v>
      </c>
      <c r="L16" s="16">
        <v>15</v>
      </c>
      <c r="M16" s="20">
        <f t="shared" si="7"/>
        <v>100</v>
      </c>
      <c r="N16" s="66">
        <f>M16/J$35</f>
        <v>3.225806451612903</v>
      </c>
      <c r="O16" s="74">
        <f>N16*M$35</f>
        <v>16.129032258064516</v>
      </c>
      <c r="P16" s="74">
        <v>28</v>
      </c>
      <c r="Q16" s="75">
        <f t="shared" si="8"/>
        <v>-11.870967741935484</v>
      </c>
      <c r="R16" s="81">
        <f>H16/J$35</f>
        <v>48.387096774193552</v>
      </c>
      <c r="S16" s="51">
        <f>R16*M$35</f>
        <v>241.93548387096774</v>
      </c>
      <c r="T16" s="51">
        <v>350.5</v>
      </c>
      <c r="U16" s="51">
        <f t="shared" si="10"/>
        <v>108.56451612903226</v>
      </c>
      <c r="V16" s="57">
        <f t="shared" si="5"/>
        <v>0.44873333333333332</v>
      </c>
      <c r="W16" s="58">
        <f t="shared" si="9"/>
        <v>12.517857142857142</v>
      </c>
      <c r="X16" s="116">
        <f>W16-L16</f>
        <v>-2.4821428571428577</v>
      </c>
      <c r="Y16" t="s">
        <v>63</v>
      </c>
    </row>
    <row r="17" spans="3:25" x14ac:dyDescent="0.3">
      <c r="C17" s="43" t="s">
        <v>14</v>
      </c>
      <c r="D17" s="40" t="s">
        <v>25</v>
      </c>
      <c r="E17" s="40" t="s">
        <v>12</v>
      </c>
      <c r="F17" s="143">
        <v>6944411197975</v>
      </c>
      <c r="G17" s="45" t="s">
        <v>31</v>
      </c>
      <c r="H17" s="2">
        <v>10000</v>
      </c>
      <c r="I17" s="5">
        <f t="shared" si="11"/>
        <v>0.15873015873015872</v>
      </c>
      <c r="J17" s="17">
        <v>500</v>
      </c>
      <c r="K17" s="7">
        <f t="shared" si="6"/>
        <v>20</v>
      </c>
      <c r="L17" s="6">
        <v>12.8</v>
      </c>
      <c r="M17" s="20">
        <f>H17/L17</f>
        <v>781.25</v>
      </c>
      <c r="N17" s="66">
        <f>M17/J$35</f>
        <v>25.201612903225808</v>
      </c>
      <c r="O17" s="74">
        <f>N17*M$35</f>
        <v>126.00806451612904</v>
      </c>
      <c r="P17" s="74">
        <v>88</v>
      </c>
      <c r="Q17" s="75">
        <f t="shared" si="8"/>
        <v>38.008064516129039</v>
      </c>
      <c r="R17" s="81">
        <f>H17/J$35</f>
        <v>322.58064516129031</v>
      </c>
      <c r="S17" s="51">
        <f>R17*M$35</f>
        <v>1612.9032258064515</v>
      </c>
      <c r="T17" s="51">
        <v>1600.56</v>
      </c>
      <c r="U17" s="51">
        <f t="shared" si="10"/>
        <v>-12.343225806451528</v>
      </c>
      <c r="V17" s="57">
        <f t="shared" si="5"/>
        <v>-7.6527999999999484E-3</v>
      </c>
      <c r="W17" s="58">
        <f t="shared" si="9"/>
        <v>18.188181818181818</v>
      </c>
      <c r="X17" s="116">
        <f>W17-L17</f>
        <v>5.3881818181818169</v>
      </c>
      <c r="Y17" t="s">
        <v>65</v>
      </c>
    </row>
    <row r="18" spans="3:25" x14ac:dyDescent="0.3">
      <c r="C18" s="43" t="s">
        <v>14</v>
      </c>
      <c r="D18" s="40" t="s">
        <v>25</v>
      </c>
      <c r="E18" s="40" t="s">
        <v>12</v>
      </c>
      <c r="F18" s="144"/>
      <c r="G18" s="45" t="s">
        <v>32</v>
      </c>
      <c r="H18" s="2">
        <v>0</v>
      </c>
      <c r="I18" s="5">
        <f t="shared" si="11"/>
        <v>0</v>
      </c>
      <c r="J18" s="17"/>
      <c r="K18" s="7"/>
      <c r="L18" s="6"/>
      <c r="M18" s="20"/>
      <c r="N18" s="66"/>
      <c r="O18" s="74"/>
      <c r="P18" s="74"/>
      <c r="Q18" s="75"/>
      <c r="R18" s="81"/>
      <c r="S18" s="51"/>
      <c r="T18" s="51"/>
      <c r="U18" s="51"/>
      <c r="V18" s="57"/>
      <c r="W18" s="58"/>
      <c r="X18" s="116"/>
    </row>
    <row r="19" spans="3:25" x14ac:dyDescent="0.3">
      <c r="C19" s="43" t="s">
        <v>14</v>
      </c>
      <c r="D19" s="40" t="s">
        <v>25</v>
      </c>
      <c r="E19" s="40" t="s">
        <v>12</v>
      </c>
      <c r="F19" s="143">
        <v>6970690462575</v>
      </c>
      <c r="G19" s="44" t="s">
        <v>19</v>
      </c>
      <c r="H19" s="2">
        <v>500</v>
      </c>
      <c r="I19" s="5">
        <f t="shared" si="11"/>
        <v>7.9365079365079361E-3</v>
      </c>
      <c r="J19" s="6">
        <v>540</v>
      </c>
      <c r="K19" s="7">
        <f t="shared" si="6"/>
        <v>0.92592592592592593</v>
      </c>
      <c r="L19" s="6">
        <v>40</v>
      </c>
      <c r="M19" s="20">
        <f>H19/L19</f>
        <v>12.5</v>
      </c>
      <c r="N19" s="66">
        <f>M19/J$35</f>
        <v>0.40322580645161288</v>
      </c>
      <c r="O19" s="74">
        <f>N19*M$35</f>
        <v>2.0161290322580645</v>
      </c>
      <c r="P19" s="74">
        <v>15</v>
      </c>
      <c r="Q19" s="75">
        <f t="shared" si="8"/>
        <v>-12.983870967741936</v>
      </c>
      <c r="R19" s="81">
        <f>H19/J$35</f>
        <v>16.129032258064516</v>
      </c>
      <c r="S19" s="51">
        <f>R19*M$35</f>
        <v>80.645161290322577</v>
      </c>
      <c r="T19" s="51">
        <v>132.96</v>
      </c>
      <c r="U19" s="51">
        <f t="shared" si="10"/>
        <v>52.314838709677431</v>
      </c>
      <c r="V19" s="57">
        <f t="shared" si="5"/>
        <v>0.64870400000000017</v>
      </c>
      <c r="W19" s="58">
        <f>T19/P19</f>
        <v>8.8640000000000008</v>
      </c>
      <c r="X19" s="116">
        <f>W19-L19</f>
        <v>-31.135999999999999</v>
      </c>
    </row>
    <row r="20" spans="3:25" x14ac:dyDescent="0.3">
      <c r="C20" s="43" t="s">
        <v>14</v>
      </c>
      <c r="D20" s="40" t="s">
        <v>25</v>
      </c>
      <c r="E20" s="40" t="s">
        <v>12</v>
      </c>
      <c r="F20" s="143">
        <v>6634088776775</v>
      </c>
      <c r="G20" s="42" t="s">
        <v>20</v>
      </c>
      <c r="H20" s="2">
        <v>1000</v>
      </c>
      <c r="I20" s="5">
        <f t="shared" si="11"/>
        <v>1.5873015873015872E-2</v>
      </c>
      <c r="J20" s="6">
        <v>540</v>
      </c>
      <c r="K20" s="7">
        <f t="shared" si="6"/>
        <v>1.8518518518518519</v>
      </c>
      <c r="L20" s="6">
        <v>90</v>
      </c>
      <c r="M20" s="20">
        <f>H20/L20</f>
        <v>11.111111111111111</v>
      </c>
      <c r="N20" s="66">
        <f>M20/J$35</f>
        <v>0.35842293906810035</v>
      </c>
      <c r="O20" s="74">
        <f>N20*M$35</f>
        <v>1.7921146953405018</v>
      </c>
      <c r="P20" s="74">
        <v>6</v>
      </c>
      <c r="Q20" s="75">
        <f t="shared" si="8"/>
        <v>-4.2078853046594986</v>
      </c>
      <c r="R20" s="81">
        <f>H20/J$35</f>
        <v>32.258064516129032</v>
      </c>
      <c r="S20" s="51">
        <f>R20*M$35</f>
        <v>161.29032258064515</v>
      </c>
      <c r="T20" s="51">
        <v>231.27</v>
      </c>
      <c r="U20" s="51">
        <f t="shared" si="10"/>
        <v>69.979677419354857</v>
      </c>
      <c r="V20" s="57">
        <f t="shared" si="5"/>
        <v>0.43387400000000015</v>
      </c>
      <c r="W20" s="58">
        <f>T20/P20</f>
        <v>38.545000000000002</v>
      </c>
      <c r="X20" s="116">
        <f>W20-L20</f>
        <v>-51.454999999999998</v>
      </c>
    </row>
    <row r="21" spans="3:25" x14ac:dyDescent="0.3">
      <c r="C21" s="43" t="s">
        <v>14</v>
      </c>
      <c r="D21" s="40" t="s">
        <v>25</v>
      </c>
      <c r="E21" s="40" t="s">
        <v>12</v>
      </c>
      <c r="F21" s="143">
        <v>6666147663775</v>
      </c>
      <c r="G21" s="42" t="s">
        <v>21</v>
      </c>
      <c r="H21" s="2">
        <v>500</v>
      </c>
      <c r="I21" s="5">
        <f t="shared" si="11"/>
        <v>7.9365079365079361E-3</v>
      </c>
      <c r="J21" s="6">
        <v>540</v>
      </c>
      <c r="K21" s="7">
        <f t="shared" si="6"/>
        <v>0.92592592592592593</v>
      </c>
      <c r="L21" s="6">
        <v>120</v>
      </c>
      <c r="M21" s="20">
        <f>H21/L21</f>
        <v>4.166666666666667</v>
      </c>
      <c r="N21" s="66">
        <f>M21/J$35</f>
        <v>0.13440860215053765</v>
      </c>
      <c r="O21" s="74">
        <f>N21*M$35</f>
        <v>0.67204301075268824</v>
      </c>
      <c r="P21" s="74">
        <v>3</v>
      </c>
      <c r="Q21" s="75">
        <f t="shared" ref="Q21" si="12">O21-P21</f>
        <v>-2.327956989247312</v>
      </c>
      <c r="R21" s="81">
        <f>H21/J$35</f>
        <v>16.129032258064516</v>
      </c>
      <c r="S21" s="51">
        <f>R21*M$35</f>
        <v>80.645161290322577</v>
      </c>
      <c r="T21" s="51">
        <v>90.06</v>
      </c>
      <c r="U21" s="51">
        <f t="shared" ref="U21" si="13">T21-S21</f>
        <v>9.4148387096774258</v>
      </c>
      <c r="V21" s="57">
        <f t="shared" ref="V21" si="14">U21/S21</f>
        <v>0.11674400000000008</v>
      </c>
      <c r="W21" s="58">
        <f>T21/P21</f>
        <v>30.02</v>
      </c>
      <c r="X21" s="116">
        <f>W21-L21</f>
        <v>-89.98</v>
      </c>
    </row>
    <row r="22" spans="3:25" x14ac:dyDescent="0.3">
      <c r="C22" s="43" t="s">
        <v>22</v>
      </c>
      <c r="D22" s="40" t="s">
        <v>25</v>
      </c>
      <c r="E22" s="40" t="s">
        <v>12</v>
      </c>
      <c r="F22" s="143">
        <v>6901683340975</v>
      </c>
      <c r="G22" s="44" t="s">
        <v>29</v>
      </c>
      <c r="H22" s="2">
        <v>1000</v>
      </c>
      <c r="I22" s="5">
        <f t="shared" si="11"/>
        <v>1.5873015873015872E-2</v>
      </c>
      <c r="J22" s="6">
        <v>400</v>
      </c>
      <c r="K22" s="7">
        <f t="shared" si="6"/>
        <v>2.5</v>
      </c>
      <c r="L22" s="6">
        <v>26</v>
      </c>
      <c r="M22" s="20">
        <f>H22/L22</f>
        <v>38.46153846153846</v>
      </c>
      <c r="N22" s="66"/>
      <c r="O22" s="74"/>
      <c r="P22" s="74"/>
      <c r="Q22" s="75"/>
      <c r="R22" s="81"/>
      <c r="S22" s="51"/>
      <c r="T22" s="51"/>
      <c r="U22" s="51"/>
      <c r="V22" s="57"/>
      <c r="W22" s="58"/>
      <c r="X22" s="116"/>
    </row>
    <row r="23" spans="3:25" ht="15" thickBot="1" x14ac:dyDescent="0.35">
      <c r="C23" s="84" t="s">
        <v>39</v>
      </c>
      <c r="D23" s="85" t="s">
        <v>25</v>
      </c>
      <c r="E23" s="85" t="s">
        <v>12</v>
      </c>
      <c r="F23" s="140">
        <v>52533122877779</v>
      </c>
      <c r="G23" s="86" t="s">
        <v>40</v>
      </c>
      <c r="H23" s="87"/>
      <c r="I23" s="88">
        <f t="shared" ref="I23" si="15">H23/H$29</f>
        <v>0</v>
      </c>
      <c r="J23" s="89"/>
      <c r="K23" s="90"/>
      <c r="L23" s="89"/>
      <c r="M23" s="91"/>
      <c r="N23" s="66"/>
      <c r="O23" s="74"/>
      <c r="P23" s="52"/>
      <c r="Q23" s="73"/>
      <c r="R23" s="81"/>
      <c r="S23" s="51"/>
      <c r="T23" s="51"/>
      <c r="U23" s="52"/>
      <c r="V23" s="80"/>
      <c r="W23" s="70"/>
      <c r="X23" s="116"/>
    </row>
    <row r="24" spans="3:25" s="4" customFormat="1" ht="15" thickBot="1" x14ac:dyDescent="0.35">
      <c r="C24" s="24" t="s">
        <v>23</v>
      </c>
      <c r="D24" s="25"/>
      <c r="E24" s="25"/>
      <c r="F24" s="141"/>
      <c r="G24" s="100"/>
      <c r="H24" s="101">
        <f>SUM(H9:H22)</f>
        <v>31000</v>
      </c>
      <c r="I24" s="102">
        <f t="shared" ref="I24:I29" si="16">H24/H$29</f>
        <v>0.49206349206349204</v>
      </c>
      <c r="J24" s="28">
        <f>H24/K24</f>
        <v>560.01672690343196</v>
      </c>
      <c r="K24" s="29">
        <f>SUM(K9:K22)</f>
        <v>55.355489417989418</v>
      </c>
      <c r="L24" s="28">
        <f>H24/M24</f>
        <v>22.682068258169956</v>
      </c>
      <c r="M24" s="30">
        <f>SUM(M9:M22)</f>
        <v>1366.7183983027637</v>
      </c>
      <c r="N24" s="59">
        <f>M24/J$35</f>
        <v>44.087690267831086</v>
      </c>
      <c r="O24" s="60">
        <f>N24*M$35</f>
        <v>220.43845133915542</v>
      </c>
      <c r="P24" s="103">
        <f>SUM(P9:P23)</f>
        <v>204</v>
      </c>
      <c r="Q24" s="55">
        <f t="shared" si="8"/>
        <v>16.438451339155421</v>
      </c>
      <c r="R24" s="113">
        <f>H24/J$35</f>
        <v>1000</v>
      </c>
      <c r="S24" s="105">
        <f>R24*M$35</f>
        <v>5000</v>
      </c>
      <c r="T24" s="105">
        <f>SUM(T9:T23)</f>
        <v>5040.1900000000005</v>
      </c>
      <c r="U24" s="122">
        <f>T24-S24</f>
        <v>40.190000000000509</v>
      </c>
      <c r="V24" s="115">
        <f>U24/S24</f>
        <v>8.0380000000001024E-3</v>
      </c>
      <c r="W24" s="118">
        <f t="shared" ref="W24:W29" si="17">T24/P24</f>
        <v>24.7068137254902</v>
      </c>
      <c r="X24" s="119">
        <f>W24-L24</f>
        <v>2.0247454673202441</v>
      </c>
    </row>
    <row r="25" spans="3:25" x14ac:dyDescent="0.3">
      <c r="C25" s="175" t="s">
        <v>14</v>
      </c>
      <c r="D25" s="92" t="s">
        <v>27</v>
      </c>
      <c r="E25" s="93" t="s">
        <v>15</v>
      </c>
      <c r="F25" s="145"/>
      <c r="G25" s="94" t="s">
        <v>16</v>
      </c>
      <c r="H25" s="95">
        <v>5000</v>
      </c>
      <c r="I25" s="96">
        <f t="shared" si="16"/>
        <v>7.9365079365079361E-2</v>
      </c>
      <c r="J25" s="97">
        <v>450</v>
      </c>
      <c r="K25" s="98">
        <f>H25/J25</f>
        <v>11.111111111111111</v>
      </c>
      <c r="L25" s="99">
        <v>7.6</v>
      </c>
      <c r="M25" s="49">
        <f>H25/L25</f>
        <v>657.89473684210532</v>
      </c>
      <c r="N25" s="56">
        <f>M25/K$35</f>
        <v>28.604118993135014</v>
      </c>
      <c r="O25" s="74">
        <f>N25*N$35</f>
        <v>85.812356979405038</v>
      </c>
      <c r="P25" s="74">
        <v>89</v>
      </c>
      <c r="Q25" s="75">
        <f>O25-P25</f>
        <v>-3.1876430205949617</v>
      </c>
      <c r="R25" s="81">
        <f>H25/K$35</f>
        <v>217.39130434782609</v>
      </c>
      <c r="S25" s="51">
        <f>R25*N$35</f>
        <v>652.17391304347825</v>
      </c>
      <c r="T25" s="51">
        <f>P25*7.6</f>
        <v>676.4</v>
      </c>
      <c r="U25" s="51">
        <f>T25-S25</f>
        <v>24.226086956521726</v>
      </c>
      <c r="V25" s="57">
        <f t="shared" ref="V25:V29" si="18">U25/S25</f>
        <v>3.7146666666666647E-2</v>
      </c>
      <c r="W25" s="58">
        <f t="shared" si="17"/>
        <v>7.6</v>
      </c>
      <c r="X25" s="116"/>
    </row>
    <row r="26" spans="3:25" x14ac:dyDescent="0.3">
      <c r="C26" s="175"/>
      <c r="D26" s="40" t="s">
        <v>27</v>
      </c>
      <c r="E26" s="46" t="s">
        <v>15</v>
      </c>
      <c r="F26" s="144"/>
      <c r="G26" s="44" t="s">
        <v>17</v>
      </c>
      <c r="H26" s="2">
        <v>4000</v>
      </c>
      <c r="I26" s="5">
        <f t="shared" si="16"/>
        <v>6.3492063492063489E-2</v>
      </c>
      <c r="J26" s="6">
        <v>350</v>
      </c>
      <c r="K26" s="7">
        <f>H26/J26</f>
        <v>11.428571428571429</v>
      </c>
      <c r="L26" s="6">
        <v>9</v>
      </c>
      <c r="M26" s="20">
        <f>H26/L26</f>
        <v>444.44444444444446</v>
      </c>
      <c r="N26" s="56">
        <f t="shared" ref="N26:N27" si="19">M26/K$35</f>
        <v>19.323671497584542</v>
      </c>
      <c r="O26" s="74">
        <f t="shared" ref="O26:O27" si="20">N26*N$35</f>
        <v>57.971014492753625</v>
      </c>
      <c r="P26" s="74">
        <v>59</v>
      </c>
      <c r="Q26" s="75">
        <f>O26-P26</f>
        <v>-1.0289855072463752</v>
      </c>
      <c r="R26" s="81">
        <f t="shared" ref="R26:R27" si="21">H26/K$35</f>
        <v>173.91304347826087</v>
      </c>
      <c r="S26" s="51">
        <f t="shared" ref="S26:S27" si="22">R26*N$35</f>
        <v>521.73913043478262</v>
      </c>
      <c r="T26" s="51">
        <f>P26*9</f>
        <v>531</v>
      </c>
      <c r="U26" s="51">
        <f t="shared" ref="U26:U28" si="23">T26-S26</f>
        <v>9.2608695652173765</v>
      </c>
      <c r="V26" s="57">
        <f t="shared" si="18"/>
        <v>1.7749999999999971E-2</v>
      </c>
      <c r="W26" s="58">
        <f t="shared" si="17"/>
        <v>9</v>
      </c>
      <c r="X26" s="116"/>
    </row>
    <row r="27" spans="3:25" ht="15" thickBot="1" x14ac:dyDescent="0.35">
      <c r="C27" s="175"/>
      <c r="D27" s="106" t="s">
        <v>27</v>
      </c>
      <c r="E27" s="123" t="s">
        <v>15</v>
      </c>
      <c r="F27" s="146"/>
      <c r="G27" s="124" t="s">
        <v>33</v>
      </c>
      <c r="H27" s="125">
        <v>2000</v>
      </c>
      <c r="I27" s="109">
        <f t="shared" si="16"/>
        <v>3.1746031746031744E-2</v>
      </c>
      <c r="J27" s="126">
        <v>300</v>
      </c>
      <c r="K27" s="127">
        <f>H27/J27</f>
        <v>6.666666666666667</v>
      </c>
      <c r="L27" s="128">
        <v>8</v>
      </c>
      <c r="M27" s="111">
        <f>H27/L27</f>
        <v>250</v>
      </c>
      <c r="N27" s="56">
        <f t="shared" si="19"/>
        <v>10.869565217391305</v>
      </c>
      <c r="O27" s="74">
        <f t="shared" si="20"/>
        <v>32.608695652173914</v>
      </c>
      <c r="P27" s="74">
        <v>30</v>
      </c>
      <c r="Q27" s="75">
        <f>O27-P27</f>
        <v>2.608695652173914</v>
      </c>
      <c r="R27" s="81">
        <f t="shared" si="21"/>
        <v>86.956521739130437</v>
      </c>
      <c r="S27" s="51">
        <f t="shared" si="22"/>
        <v>260.86956521739131</v>
      </c>
      <c r="T27" s="51">
        <f>P27*8</f>
        <v>240</v>
      </c>
      <c r="U27" s="51">
        <f t="shared" si="23"/>
        <v>-20.869565217391312</v>
      </c>
      <c r="V27" s="57">
        <f t="shared" si="18"/>
        <v>-8.0000000000000029E-2</v>
      </c>
      <c r="W27" s="58">
        <f t="shared" si="17"/>
        <v>8</v>
      </c>
      <c r="X27" s="116"/>
      <c r="Y27" t="s">
        <v>73</v>
      </c>
    </row>
    <row r="28" spans="3:25" s="4" customFormat="1" ht="15" thickBot="1" x14ac:dyDescent="0.35">
      <c r="C28" s="24" t="s">
        <v>18</v>
      </c>
      <c r="D28" s="25"/>
      <c r="E28" s="25"/>
      <c r="F28" s="137"/>
      <c r="G28" s="129"/>
      <c r="H28" s="130">
        <f>SUM(H25:H27)</f>
        <v>11000</v>
      </c>
      <c r="I28" s="102">
        <f t="shared" si="16"/>
        <v>0.17460317460317459</v>
      </c>
      <c r="J28" s="131">
        <f>H28/K28</f>
        <v>376.63043478260869</v>
      </c>
      <c r="K28" s="132">
        <f>SUM(K25:K27)</f>
        <v>29.206349206349206</v>
      </c>
      <c r="L28" s="28">
        <f>H28/M28</f>
        <v>8.1340540540540545</v>
      </c>
      <c r="M28" s="133">
        <f>SUM(M25:M27)</f>
        <v>1352.3391812865498</v>
      </c>
      <c r="N28" s="59">
        <f>M28/K$35</f>
        <v>58.797355708110857</v>
      </c>
      <c r="O28" s="60">
        <f>N28*N$35</f>
        <v>176.39206712433258</v>
      </c>
      <c r="P28" s="60">
        <f>SUM(P25:P27)</f>
        <v>178</v>
      </c>
      <c r="Q28" s="61">
        <f>O28-P28</f>
        <v>-1.6079328756674158</v>
      </c>
      <c r="R28" s="113">
        <f>H28/K$35</f>
        <v>478.26086956521738</v>
      </c>
      <c r="S28" s="62">
        <f>R28*N$35</f>
        <v>1434.782608695652</v>
      </c>
      <c r="T28" s="62">
        <f>SUM(T25:T27)</f>
        <v>1447.4</v>
      </c>
      <c r="U28" s="62">
        <f t="shared" si="23"/>
        <v>12.617391304348075</v>
      </c>
      <c r="V28" s="63">
        <f t="shared" si="18"/>
        <v>8.7939393939395691E-3</v>
      </c>
      <c r="W28" s="64">
        <f t="shared" si="17"/>
        <v>8.131460674157303</v>
      </c>
      <c r="X28" s="65"/>
    </row>
    <row r="29" spans="3:25" s="4" customFormat="1" ht="15" thickBot="1" x14ac:dyDescent="0.35">
      <c r="C29" s="22"/>
      <c r="D29" s="21"/>
      <c r="E29" s="9"/>
      <c r="F29" s="138"/>
      <c r="G29" s="9"/>
      <c r="H29" s="23">
        <f>SUM(H8+H24+H28)</f>
        <v>63000</v>
      </c>
      <c r="I29" s="11">
        <f t="shared" si="16"/>
        <v>1</v>
      </c>
      <c r="J29" s="10">
        <f>H29/K29</f>
        <v>468.18623053954752</v>
      </c>
      <c r="K29" s="12">
        <f>K8+K24+K28</f>
        <v>134.56183862433863</v>
      </c>
      <c r="L29" s="10">
        <f>H29/M29</f>
        <v>19.77572292204534</v>
      </c>
      <c r="M29" s="13">
        <f>M8+M24+M28</f>
        <v>3185.7242462559802</v>
      </c>
      <c r="N29" s="76">
        <f>N28+N24+N8</f>
        <v>117.93880941680217</v>
      </c>
      <c r="O29" s="76">
        <f>O28+O24+O8</f>
        <v>472.09933566778909</v>
      </c>
      <c r="P29" s="77">
        <f>P28+P24+P8</f>
        <v>472</v>
      </c>
      <c r="Q29" s="134">
        <f>O29-P29</f>
        <v>9.9335667789091531E-2</v>
      </c>
      <c r="R29" s="82">
        <f>H29/31</f>
        <v>2032.258064516129</v>
      </c>
      <c r="S29" s="83">
        <f>R29*M$35</f>
        <v>10161.290322580646</v>
      </c>
      <c r="T29" s="83">
        <f>T28+T24+T8</f>
        <v>10529.43</v>
      </c>
      <c r="U29" s="83">
        <f>T29-S29</f>
        <v>368.13967741935448</v>
      </c>
      <c r="V29" s="114">
        <f t="shared" si="18"/>
        <v>3.6229619047619011E-2</v>
      </c>
      <c r="W29" s="120">
        <f t="shared" si="17"/>
        <v>22.308114406779662</v>
      </c>
      <c r="X29" s="121">
        <f>W29-L29</f>
        <v>2.5323914847343225</v>
      </c>
    </row>
    <row r="31" spans="3:25" x14ac:dyDescent="0.3">
      <c r="J31" s="47"/>
      <c r="L31" s="47"/>
      <c r="M31" s="3"/>
      <c r="N31" s="52"/>
      <c r="V31" s="51"/>
    </row>
    <row r="32" spans="3:25" x14ac:dyDescent="0.3">
      <c r="G32" s="47"/>
    </row>
    <row r="33" spans="3:19" x14ac:dyDescent="0.3">
      <c r="H33" s="47"/>
    </row>
    <row r="34" spans="3:19" x14ac:dyDescent="0.3">
      <c r="C34" s="31" t="s">
        <v>58</v>
      </c>
      <c r="D34" s="31" t="s">
        <v>36</v>
      </c>
      <c r="E34" t="s">
        <v>57</v>
      </c>
      <c r="J34" t="s">
        <v>54</v>
      </c>
      <c r="K34" t="s">
        <v>55</v>
      </c>
      <c r="L34" s="48"/>
      <c r="M34" t="s">
        <v>59</v>
      </c>
      <c r="N34" t="s">
        <v>56</v>
      </c>
      <c r="Q34" s="148"/>
      <c r="R34" s="42" t="s">
        <v>61</v>
      </c>
      <c r="S34" s="42" t="s">
        <v>62</v>
      </c>
    </row>
    <row r="35" spans="3:19" x14ac:dyDescent="0.3">
      <c r="C35" s="53">
        <v>46204</v>
      </c>
      <c r="D35">
        <v>2</v>
      </c>
      <c r="E35">
        <v>128</v>
      </c>
      <c r="J35">
        <v>31</v>
      </c>
      <c r="K35">
        <v>23</v>
      </c>
      <c r="M35">
        <v>5</v>
      </c>
      <c r="N35">
        <v>3</v>
      </c>
      <c r="Q35" s="148" t="s">
        <v>44</v>
      </c>
      <c r="R35" s="149">
        <f>(H3+H5+H9+H10+H11+H13+H16+H15)/J35*M35</f>
        <v>4677.4193548387102</v>
      </c>
      <c r="S35" s="149">
        <f>T3+T5+T9+T10+T11+T13+T16+T15</f>
        <v>4865.3999999999996</v>
      </c>
    </row>
    <row r="36" spans="3:19" x14ac:dyDescent="0.3">
      <c r="C36" s="53">
        <v>46205</v>
      </c>
      <c r="D36">
        <v>6</v>
      </c>
      <c r="E36">
        <v>107</v>
      </c>
      <c r="Q36" s="148" t="s">
        <v>45</v>
      </c>
      <c r="R36" s="149">
        <f>(H7+H17+H18+H19+H20+H21)/J35*M35</f>
        <v>3548.3870967741932</v>
      </c>
      <c r="S36" s="149">
        <f>T7+T17+T19+T20+T21+T22+T23</f>
        <v>4216.630000000001</v>
      </c>
    </row>
    <row r="37" spans="3:19" x14ac:dyDescent="0.3">
      <c r="C37" s="53">
        <v>46206</v>
      </c>
      <c r="D37">
        <v>8</v>
      </c>
      <c r="E37">
        <v>110</v>
      </c>
      <c r="Q37" s="148" t="s">
        <v>46</v>
      </c>
      <c r="R37" s="41">
        <f>(H25+H26+H27)/K35*N35</f>
        <v>1434.782608695652</v>
      </c>
      <c r="S37" s="149">
        <f>T25+T26+T27</f>
        <v>1447.4</v>
      </c>
    </row>
    <row r="38" spans="3:19" x14ac:dyDescent="0.3">
      <c r="C38" s="53">
        <v>46207</v>
      </c>
      <c r="D38">
        <v>2</v>
      </c>
      <c r="E38">
        <v>72</v>
      </c>
      <c r="Q38" s="148" t="s">
        <v>60</v>
      </c>
      <c r="R38" s="42"/>
      <c r="S38" s="149">
        <f>SUM(S35:S37)</f>
        <v>10529.43</v>
      </c>
    </row>
    <row r="39" spans="3:19" x14ac:dyDescent="0.3">
      <c r="C39" s="53">
        <v>46208</v>
      </c>
      <c r="D39">
        <v>0</v>
      </c>
      <c r="E39">
        <v>73</v>
      </c>
    </row>
    <row r="40" spans="3:19" x14ac:dyDescent="0.3">
      <c r="C40" s="53">
        <v>46209</v>
      </c>
      <c r="D40">
        <v>1</v>
      </c>
      <c r="E40">
        <v>108</v>
      </c>
    </row>
    <row r="41" spans="3:19" x14ac:dyDescent="0.3">
      <c r="C41" s="53">
        <v>46210</v>
      </c>
      <c r="D41">
        <v>0</v>
      </c>
      <c r="E41">
        <v>133</v>
      </c>
    </row>
    <row r="42" spans="3:19" x14ac:dyDescent="0.3">
      <c r="C42" s="53">
        <v>46211</v>
      </c>
      <c r="D42">
        <v>16</v>
      </c>
      <c r="E42">
        <v>131</v>
      </c>
    </row>
    <row r="43" spans="3:19" x14ac:dyDescent="0.3">
      <c r="C43" s="53">
        <v>46212</v>
      </c>
      <c r="D43">
        <v>32</v>
      </c>
      <c r="E43">
        <v>149</v>
      </c>
    </row>
    <row r="44" spans="3:19" x14ac:dyDescent="0.3">
      <c r="C44" s="53">
        <v>46213</v>
      </c>
      <c r="D44">
        <v>16</v>
      </c>
    </row>
    <row r="45" spans="3:19" x14ac:dyDescent="0.3">
      <c r="C45" s="53">
        <v>46214</v>
      </c>
      <c r="D45"/>
    </row>
    <row r="46" spans="3:19" x14ac:dyDescent="0.3">
      <c r="C46" s="53">
        <v>46215</v>
      </c>
      <c r="D46"/>
    </row>
    <row r="47" spans="3:19" x14ac:dyDescent="0.3">
      <c r="C47" s="53">
        <v>46216</v>
      </c>
      <c r="D47"/>
    </row>
    <row r="48" spans="3:19" x14ac:dyDescent="0.3">
      <c r="C48" s="53">
        <v>46217</v>
      </c>
      <c r="D48"/>
    </row>
    <row r="49" spans="3:4" x14ac:dyDescent="0.3">
      <c r="C49" s="53">
        <v>46218</v>
      </c>
      <c r="D49"/>
    </row>
    <row r="50" spans="3:4" x14ac:dyDescent="0.3">
      <c r="C50" s="53">
        <v>46219</v>
      </c>
      <c r="D50"/>
    </row>
    <row r="51" spans="3:4" x14ac:dyDescent="0.3">
      <c r="C51" s="53">
        <v>46220</v>
      </c>
      <c r="D51"/>
    </row>
    <row r="52" spans="3:4" x14ac:dyDescent="0.3">
      <c r="C52" s="53">
        <v>46221</v>
      </c>
      <c r="D52"/>
    </row>
    <row r="53" spans="3:4" x14ac:dyDescent="0.3">
      <c r="C53" s="53">
        <v>46222</v>
      </c>
      <c r="D53"/>
    </row>
    <row r="54" spans="3:4" x14ac:dyDescent="0.3">
      <c r="C54" s="53">
        <v>46223</v>
      </c>
      <c r="D54"/>
    </row>
    <row r="55" spans="3:4" x14ac:dyDescent="0.3">
      <c r="C55" s="53">
        <v>46224</v>
      </c>
      <c r="D55"/>
    </row>
    <row r="56" spans="3:4" x14ac:dyDescent="0.3">
      <c r="C56" s="53">
        <v>46225</v>
      </c>
      <c r="D56"/>
    </row>
    <row r="57" spans="3:4" x14ac:dyDescent="0.3">
      <c r="C57" s="53">
        <v>46226</v>
      </c>
      <c r="D57"/>
    </row>
    <row r="58" spans="3:4" x14ac:dyDescent="0.3">
      <c r="C58" s="53">
        <v>46227</v>
      </c>
      <c r="D58"/>
    </row>
    <row r="59" spans="3:4" x14ac:dyDescent="0.3">
      <c r="C59" s="53">
        <v>46228</v>
      </c>
      <c r="D59"/>
    </row>
    <row r="60" spans="3:4" x14ac:dyDescent="0.3">
      <c r="C60" s="53">
        <v>46229</v>
      </c>
      <c r="D60"/>
    </row>
    <row r="61" spans="3:4" x14ac:dyDescent="0.3">
      <c r="C61" s="53">
        <v>46230</v>
      </c>
      <c r="D61"/>
    </row>
    <row r="62" spans="3:4" x14ac:dyDescent="0.3">
      <c r="C62" s="53">
        <v>46231</v>
      </c>
      <c r="D62"/>
    </row>
    <row r="63" spans="3:4" x14ac:dyDescent="0.3">
      <c r="C63" s="53">
        <v>46232</v>
      </c>
      <c r="D63"/>
    </row>
    <row r="64" spans="3:4" x14ac:dyDescent="0.3">
      <c r="C64" s="53">
        <v>46233</v>
      </c>
      <c r="D64"/>
    </row>
    <row r="65" spans="3:5" x14ac:dyDescent="0.3">
      <c r="C65" s="53">
        <v>46234</v>
      </c>
      <c r="D65"/>
    </row>
    <row r="66" spans="3:5" x14ac:dyDescent="0.3">
      <c r="D66">
        <f>SUM(D35:D65)</f>
        <v>83</v>
      </c>
      <c r="E66">
        <f>SUM(E35:E65)</f>
        <v>1011</v>
      </c>
    </row>
  </sheetData>
  <mergeCells count="46">
    <mergeCell ref="C25:C27"/>
    <mergeCell ref="C3:C7"/>
    <mergeCell ref="H11:H12"/>
    <mergeCell ref="I11:I12"/>
    <mergeCell ref="J11:J12"/>
    <mergeCell ref="D11:D12"/>
    <mergeCell ref="E11:E12"/>
    <mergeCell ref="C11:C12"/>
    <mergeCell ref="E13:E14"/>
    <mergeCell ref="D13:D14"/>
    <mergeCell ref="C13:C14"/>
    <mergeCell ref="E5:E6"/>
    <mergeCell ref="E3:E4"/>
    <mergeCell ref="K11:K12"/>
    <mergeCell ref="L11:L12"/>
    <mergeCell ref="M11:M12"/>
    <mergeCell ref="H13:H14"/>
    <mergeCell ref="I13:I14"/>
    <mergeCell ref="J13:J14"/>
    <mergeCell ref="K13:K14"/>
    <mergeCell ref="L13:L14"/>
    <mergeCell ref="M13:M14"/>
    <mergeCell ref="N11:N12"/>
    <mergeCell ref="O11:O12"/>
    <mergeCell ref="P11:P12"/>
    <mergeCell ref="Q11:Q12"/>
    <mergeCell ref="N13:N14"/>
    <mergeCell ref="O13:O14"/>
    <mergeCell ref="P13:P14"/>
    <mergeCell ref="Q13:Q14"/>
    <mergeCell ref="R11:R12"/>
    <mergeCell ref="S11:S12"/>
    <mergeCell ref="R13:R14"/>
    <mergeCell ref="S13:S14"/>
    <mergeCell ref="T11:T12"/>
    <mergeCell ref="T13:T14"/>
    <mergeCell ref="X11:X12"/>
    <mergeCell ref="X13:X14"/>
    <mergeCell ref="Y13:Y14"/>
    <mergeCell ref="Y11:Y12"/>
    <mergeCell ref="U11:U12"/>
    <mergeCell ref="U13:U14"/>
    <mergeCell ref="V11:V12"/>
    <mergeCell ref="V13:V14"/>
    <mergeCell ref="W13:W14"/>
    <mergeCell ref="W11:W12"/>
  </mergeCells>
  <phoneticPr fontId="10" type="noConversion"/>
  <conditionalFormatting sqref="Q9:Q11 Q13 Q15:Q22">
    <cfRule type="colorScale" priority="9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23:Q24 Q8 Q29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25:Q28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V3:V11 V13 V15:V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:V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11 X13 X15:X24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5:X27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E156-01B3-4690-AC1E-601DB9A264E8}">
  <dimension ref="C1:Y67"/>
  <sheetViews>
    <sheetView tabSelected="1" topLeftCell="A7" zoomScale="85" zoomScaleNormal="85" workbookViewId="0">
      <selection activeCell="G35" sqref="G35"/>
    </sheetView>
  </sheetViews>
  <sheetFormatPr defaultColWidth="8.88671875" defaultRowHeight="14.4" x14ac:dyDescent="0.3"/>
  <cols>
    <col min="1" max="1" width="3.6640625" customWidth="1"/>
    <col min="2" max="2" width="4" customWidth="1"/>
    <col min="3" max="3" width="7.88671875" style="31" customWidth="1"/>
    <col min="4" max="4" width="10.44140625" style="31" customWidth="1"/>
    <col min="5" max="5" width="7.77734375" customWidth="1"/>
    <col min="6" max="6" width="4.21875" style="135" customWidth="1"/>
    <col min="7" max="7" width="61.33203125" customWidth="1"/>
    <col min="8" max="8" width="13.44140625" bestFit="1" customWidth="1"/>
    <col min="10" max="10" width="7.88671875" customWidth="1"/>
    <col min="11" max="11" width="4.5546875" customWidth="1"/>
    <col min="12" max="12" width="6.88671875" customWidth="1"/>
    <col min="13" max="13" width="6.6640625" customWidth="1"/>
    <col min="14" max="15" width="8.6640625" customWidth="1"/>
    <col min="16" max="16" width="8.44140625" customWidth="1"/>
    <col min="17" max="17" width="7.77734375" style="31" customWidth="1"/>
    <col min="18" max="18" width="11.109375" bestFit="1" customWidth="1"/>
    <col min="19" max="19" width="11.77734375" customWidth="1"/>
    <col min="20" max="20" width="12" customWidth="1"/>
    <col min="21" max="21" width="11.5546875" customWidth="1"/>
    <col min="22" max="22" width="13.77734375" customWidth="1"/>
    <col min="23" max="23" width="10" bestFit="1" customWidth="1"/>
    <col min="25" max="25" width="92" bestFit="1" customWidth="1"/>
  </cols>
  <sheetData>
    <row r="1" spans="3:25" ht="24" thickBot="1" x14ac:dyDescent="0.5">
      <c r="Q1" s="54"/>
    </row>
    <row r="2" spans="3:25" ht="53.4" customHeight="1" thickBot="1" x14ac:dyDescent="0.35">
      <c r="C2" s="32" t="s">
        <v>0</v>
      </c>
      <c r="D2" s="33" t="s">
        <v>1</v>
      </c>
      <c r="E2" s="33" t="s">
        <v>1</v>
      </c>
      <c r="F2" s="136" t="s">
        <v>67</v>
      </c>
      <c r="G2" s="34" t="s">
        <v>2</v>
      </c>
      <c r="H2" s="35" t="s">
        <v>3</v>
      </c>
      <c r="I2" s="35" t="s">
        <v>4</v>
      </c>
      <c r="J2" s="35" t="s">
        <v>5</v>
      </c>
      <c r="K2" s="35" t="s">
        <v>6</v>
      </c>
      <c r="L2" s="35" t="s">
        <v>7</v>
      </c>
      <c r="M2" s="50" t="s">
        <v>8</v>
      </c>
      <c r="N2" s="67" t="s">
        <v>34</v>
      </c>
      <c r="O2" s="68" t="s">
        <v>77</v>
      </c>
      <c r="P2" s="68" t="s">
        <v>42</v>
      </c>
      <c r="Q2" s="69" t="s">
        <v>43</v>
      </c>
      <c r="R2" s="78" t="s">
        <v>80</v>
      </c>
      <c r="S2" s="68" t="s">
        <v>78</v>
      </c>
      <c r="T2" s="68" t="s">
        <v>79</v>
      </c>
      <c r="U2" s="68" t="s">
        <v>48</v>
      </c>
      <c r="V2" s="79" t="s">
        <v>50</v>
      </c>
      <c r="W2" s="78" t="s">
        <v>51</v>
      </c>
      <c r="X2" s="79" t="s">
        <v>52</v>
      </c>
    </row>
    <row r="3" spans="3:25" x14ac:dyDescent="0.3">
      <c r="C3" s="176" t="s">
        <v>9</v>
      </c>
      <c r="D3" s="36" t="s">
        <v>24</v>
      </c>
      <c r="E3" s="183" t="s">
        <v>10</v>
      </c>
      <c r="F3" s="139">
        <v>17559294673</v>
      </c>
      <c r="G3" s="184" t="s">
        <v>11</v>
      </c>
      <c r="H3" s="187">
        <v>9500</v>
      </c>
      <c r="I3" s="207">
        <f t="shared" ref="I3:I12" si="0">H3/H$30</f>
        <v>0.15079365079365079</v>
      </c>
      <c r="J3" s="189"/>
      <c r="K3" s="191"/>
      <c r="L3" s="193"/>
      <c r="M3" s="196"/>
      <c r="N3" s="198"/>
      <c r="O3" s="199"/>
      <c r="P3" s="199"/>
      <c r="Q3" s="200"/>
      <c r="R3" s="209">
        <f t="shared" ref="R3:R12" si="1">H3/J$36</f>
        <v>306.45161290322579</v>
      </c>
      <c r="S3" s="210">
        <f t="shared" ref="S3:S12" si="2">R3*M$36</f>
        <v>3677.4193548387093</v>
      </c>
      <c r="T3" s="210">
        <f>2585.81+1334.65</f>
        <v>3920.46</v>
      </c>
      <c r="U3" s="210">
        <f t="shared" ref="U3:U12" si="3">T3-S3</f>
        <v>243.04064516129074</v>
      </c>
      <c r="V3" s="211">
        <f t="shared" ref="V3:V23" si="4">U3/S3</f>
        <v>6.6090000000000121E-2</v>
      </c>
      <c r="W3" s="197"/>
      <c r="X3" s="201"/>
      <c r="Y3" t="s">
        <v>82</v>
      </c>
    </row>
    <row r="4" spans="3:25" x14ac:dyDescent="0.3">
      <c r="C4" s="175"/>
      <c r="D4" s="92"/>
      <c r="E4" s="180"/>
      <c r="F4" s="139">
        <v>23993507424</v>
      </c>
      <c r="G4" s="94" t="s">
        <v>74</v>
      </c>
      <c r="H4" s="188"/>
      <c r="I4" s="208"/>
      <c r="J4" s="190"/>
      <c r="K4" s="192"/>
      <c r="L4" s="194"/>
      <c r="M4" s="195"/>
      <c r="N4" s="197"/>
      <c r="O4" s="199"/>
      <c r="P4" s="199"/>
      <c r="Q4" s="201"/>
      <c r="R4" s="209"/>
      <c r="S4" s="210"/>
      <c r="T4" s="210"/>
      <c r="U4" s="210"/>
      <c r="V4" s="211"/>
      <c r="W4" s="197"/>
      <c r="X4" s="201"/>
    </row>
    <row r="5" spans="3:25" x14ac:dyDescent="0.3">
      <c r="C5" s="175"/>
      <c r="D5" s="40" t="s">
        <v>24</v>
      </c>
      <c r="E5" s="179" t="s">
        <v>10</v>
      </c>
      <c r="F5" s="139">
        <v>17559324373</v>
      </c>
      <c r="G5" s="185" t="s">
        <v>28</v>
      </c>
      <c r="H5" s="204">
        <v>1500</v>
      </c>
      <c r="I5" s="173">
        <f t="shared" si="0"/>
        <v>2.3809523809523808E-2</v>
      </c>
      <c r="J5" s="202"/>
      <c r="K5" s="205"/>
      <c r="L5" s="179"/>
      <c r="M5" s="196"/>
      <c r="N5" s="197"/>
      <c r="O5" s="199"/>
      <c r="P5" s="199"/>
      <c r="Q5" s="201"/>
      <c r="R5" s="209">
        <f t="shared" si="1"/>
        <v>48.387096774193552</v>
      </c>
      <c r="S5" s="210">
        <f t="shared" si="2"/>
        <v>580.64516129032268</v>
      </c>
      <c r="T5" s="210">
        <f>480.91+347.8</f>
        <v>828.71</v>
      </c>
      <c r="U5" s="210">
        <f t="shared" si="3"/>
        <v>248.06483870967736</v>
      </c>
      <c r="V5" s="211">
        <f>U5/S5</f>
        <v>0.42722277777777762</v>
      </c>
      <c r="W5" s="197"/>
      <c r="X5" s="201"/>
      <c r="Y5" t="s">
        <v>82</v>
      </c>
    </row>
    <row r="6" spans="3:25" x14ac:dyDescent="0.3">
      <c r="C6" s="175"/>
      <c r="D6" s="106"/>
      <c r="E6" s="180"/>
      <c r="F6" s="139">
        <v>23998450448</v>
      </c>
      <c r="G6" s="107" t="s">
        <v>75</v>
      </c>
      <c r="H6" s="188"/>
      <c r="I6" s="174"/>
      <c r="J6" s="203"/>
      <c r="K6" s="206"/>
      <c r="L6" s="180"/>
      <c r="M6" s="195"/>
      <c r="N6" s="197"/>
      <c r="O6" s="199"/>
      <c r="P6" s="199"/>
      <c r="Q6" s="201"/>
      <c r="R6" s="209"/>
      <c r="S6" s="210"/>
      <c r="T6" s="210"/>
      <c r="U6" s="210"/>
      <c r="V6" s="211"/>
      <c r="W6" s="197"/>
      <c r="X6" s="201"/>
    </row>
    <row r="7" spans="3:25" ht="15" thickBot="1" x14ac:dyDescent="0.35">
      <c r="C7" s="175"/>
      <c r="D7" s="106" t="s">
        <v>25</v>
      </c>
      <c r="E7" s="106" t="s">
        <v>12</v>
      </c>
      <c r="F7" s="140">
        <v>6905931065575</v>
      </c>
      <c r="G7" s="107" t="s">
        <v>26</v>
      </c>
      <c r="H7" s="108">
        <v>10000</v>
      </c>
      <c r="I7" s="109">
        <f t="shared" si="0"/>
        <v>0.15873015873015872</v>
      </c>
      <c r="J7" s="109"/>
      <c r="K7" s="110"/>
      <c r="L7" s="107"/>
      <c r="M7" s="111"/>
      <c r="N7" s="70"/>
      <c r="Q7" s="72"/>
      <c r="R7" s="81">
        <f t="shared" si="1"/>
        <v>322.58064516129031</v>
      </c>
      <c r="S7" s="51">
        <f t="shared" si="2"/>
        <v>3870.9677419354839</v>
      </c>
      <c r="T7" s="51">
        <v>4223.1000000000004</v>
      </c>
      <c r="U7" s="51">
        <f t="shared" si="3"/>
        <v>352.13225806451646</v>
      </c>
      <c r="V7" s="57">
        <f t="shared" si="4"/>
        <v>9.096750000000009E-2</v>
      </c>
      <c r="W7" s="70"/>
      <c r="X7" s="80"/>
      <c r="Y7" t="s">
        <v>63</v>
      </c>
    </row>
    <row r="8" spans="3:25" s="4" customFormat="1" ht="15" thickBot="1" x14ac:dyDescent="0.35">
      <c r="C8" s="24" t="s">
        <v>13</v>
      </c>
      <c r="D8" s="25"/>
      <c r="E8" s="25"/>
      <c r="F8" s="141"/>
      <c r="G8" s="26"/>
      <c r="H8" s="27">
        <f>SUM(H3:H7)</f>
        <v>21000</v>
      </c>
      <c r="I8" s="102">
        <f t="shared" si="0"/>
        <v>0.33333333333333331</v>
      </c>
      <c r="J8" s="28">
        <v>400</v>
      </c>
      <c r="K8" s="29">
        <v>50</v>
      </c>
      <c r="L8" s="28">
        <v>45</v>
      </c>
      <c r="M8" s="30">
        <f>H8/L8</f>
        <v>466.66666666666669</v>
      </c>
      <c r="N8" s="59">
        <f>M8/J$36</f>
        <v>15.053763440860216</v>
      </c>
      <c r="O8" s="224">
        <f>N8*M$36</f>
        <v>180.64516129032259</v>
      </c>
      <c r="P8" s="224">
        <v>215</v>
      </c>
      <c r="Q8" s="61">
        <f>O8-P8</f>
        <v>-34.354838709677409</v>
      </c>
      <c r="R8" s="104">
        <f t="shared" si="1"/>
        <v>677.41935483870964</v>
      </c>
      <c r="S8" s="105">
        <f t="shared" si="2"/>
        <v>8129.0322580645152</v>
      </c>
      <c r="T8" s="105">
        <f>SUM(T3:T7)</f>
        <v>8972.27</v>
      </c>
      <c r="U8" s="122">
        <f t="shared" si="3"/>
        <v>843.23774193548525</v>
      </c>
      <c r="V8" s="115">
        <f t="shared" si="4"/>
        <v>0.10373162698412716</v>
      </c>
      <c r="W8" s="117">
        <f>T8/P8</f>
        <v>41.731488372093025</v>
      </c>
      <c r="X8" s="119">
        <f>W8-L8</f>
        <v>-3.2685116279069746</v>
      </c>
    </row>
    <row r="9" spans="3:25" x14ac:dyDescent="0.3">
      <c r="C9" s="112" t="s">
        <v>14</v>
      </c>
      <c r="D9" s="92" t="s">
        <v>24</v>
      </c>
      <c r="E9" s="92" t="s">
        <v>10</v>
      </c>
      <c r="F9" s="142">
        <v>23968989759</v>
      </c>
      <c r="G9" s="94" t="s">
        <v>71</v>
      </c>
      <c r="H9" s="95">
        <v>4000</v>
      </c>
      <c r="I9" s="96">
        <f t="shared" si="0"/>
        <v>6.3492063492063489E-2</v>
      </c>
      <c r="J9" s="99">
        <v>700</v>
      </c>
      <c r="K9" s="98">
        <f t="shared" ref="K9:K23" si="5">H9/J9</f>
        <v>5.7142857142857144</v>
      </c>
      <c r="L9" s="99">
        <v>34</v>
      </c>
      <c r="M9" s="49">
        <f t="shared" ref="M9:M17" si="6">H9/L9</f>
        <v>117.64705882352941</v>
      </c>
      <c r="N9" s="66">
        <f>M9/J$36</f>
        <v>3.795066413662239</v>
      </c>
      <c r="O9" s="74">
        <f>N9*M$36</f>
        <v>45.540796963946867</v>
      </c>
      <c r="P9" s="74">
        <v>78</v>
      </c>
      <c r="Q9" s="75">
        <f>O9-P9</f>
        <v>-32.459203036053133</v>
      </c>
      <c r="R9" s="81">
        <f t="shared" si="1"/>
        <v>129.03225806451613</v>
      </c>
      <c r="S9" s="51">
        <f t="shared" si="2"/>
        <v>1548.3870967741937</v>
      </c>
      <c r="T9" s="51">
        <v>2380.0500000000002</v>
      </c>
      <c r="U9" s="51">
        <f t="shared" si="3"/>
        <v>831.66290322580653</v>
      </c>
      <c r="V9" s="57">
        <f t="shared" si="4"/>
        <v>0.53711562499999999</v>
      </c>
      <c r="W9" s="58">
        <f>T9/P9</f>
        <v>30.513461538461542</v>
      </c>
      <c r="X9" s="116">
        <f>W9-L9</f>
        <v>-3.4865384615384585</v>
      </c>
      <c r="Y9" t="s">
        <v>66</v>
      </c>
    </row>
    <row r="10" spans="3:25" x14ac:dyDescent="0.3">
      <c r="C10" s="43" t="s">
        <v>14</v>
      </c>
      <c r="D10" s="40" t="s">
        <v>24</v>
      </c>
      <c r="E10" s="40" t="s">
        <v>10</v>
      </c>
      <c r="F10" s="139">
        <v>22822606735</v>
      </c>
      <c r="G10" s="147" t="s">
        <v>72</v>
      </c>
      <c r="H10" s="171">
        <v>9000</v>
      </c>
      <c r="I10" s="173">
        <f t="shared" si="0"/>
        <v>0.14285714285714285</v>
      </c>
      <c r="J10" s="167">
        <v>600</v>
      </c>
      <c r="K10" s="165">
        <f t="shared" si="5"/>
        <v>15</v>
      </c>
      <c r="L10" s="167">
        <v>38.5</v>
      </c>
      <c r="M10" s="169">
        <f>H10/L10</f>
        <v>233.76623376623377</v>
      </c>
      <c r="N10" s="162">
        <f>M10/J$36</f>
        <v>7.5408462505236695</v>
      </c>
      <c r="O10" s="163">
        <f>N10*M$36</f>
        <v>90.490155006284027</v>
      </c>
      <c r="P10" s="163">
        <f>54+27</f>
        <v>81</v>
      </c>
      <c r="Q10" s="164">
        <f t="shared" ref="Q10:Q29" si="7">O10-P10</f>
        <v>9.4901550062840272</v>
      </c>
      <c r="R10" s="209">
        <f t="shared" si="1"/>
        <v>290.32258064516128</v>
      </c>
      <c r="S10" s="210">
        <f t="shared" si="2"/>
        <v>3483.8709677419356</v>
      </c>
      <c r="T10" s="210">
        <f>2555.52+846.51</f>
        <v>3402.0299999999997</v>
      </c>
      <c r="U10" s="210">
        <f>T10-S10</f>
        <v>-81.840967741935856</v>
      </c>
      <c r="V10" s="211">
        <f t="shared" si="4"/>
        <v>-2.3491388888888996E-2</v>
      </c>
      <c r="W10" s="212">
        <f>T10/P10</f>
        <v>42.000370370370369</v>
      </c>
      <c r="X10" s="213">
        <f>W10-L10</f>
        <v>3.5003703703703692</v>
      </c>
      <c r="Y10" t="s">
        <v>82</v>
      </c>
    </row>
    <row r="11" spans="3:25" x14ac:dyDescent="0.3">
      <c r="C11" s="151"/>
      <c r="D11" s="106"/>
      <c r="E11" s="106"/>
      <c r="F11" s="139">
        <v>23990314506</v>
      </c>
      <c r="G11" s="44" t="s">
        <v>76</v>
      </c>
      <c r="H11" s="172"/>
      <c r="I11" s="174"/>
      <c r="J11" s="168"/>
      <c r="K11" s="166"/>
      <c r="L11" s="168"/>
      <c r="M11" s="170"/>
      <c r="N11" s="162"/>
      <c r="O11" s="163"/>
      <c r="P11" s="163"/>
      <c r="Q11" s="164"/>
      <c r="R11" s="209"/>
      <c r="S11" s="210"/>
      <c r="T11" s="210"/>
      <c r="U11" s="210"/>
      <c r="V11" s="211"/>
      <c r="W11" s="212"/>
      <c r="X11" s="213"/>
    </row>
    <row r="12" spans="3:25" x14ac:dyDescent="0.3">
      <c r="C12" s="181" t="s">
        <v>14</v>
      </c>
      <c r="D12" s="179" t="s">
        <v>24</v>
      </c>
      <c r="E12" s="179" t="s">
        <v>10</v>
      </c>
      <c r="F12" s="150">
        <v>23061435070</v>
      </c>
      <c r="G12" s="147" t="s">
        <v>69</v>
      </c>
      <c r="H12" s="171">
        <v>1000</v>
      </c>
      <c r="I12" s="173">
        <f t="shared" si="0"/>
        <v>1.5873015873015872E-2</v>
      </c>
      <c r="J12" s="177">
        <v>800</v>
      </c>
      <c r="K12" s="165">
        <f t="shared" si="5"/>
        <v>1.25</v>
      </c>
      <c r="L12" s="167">
        <v>38</v>
      </c>
      <c r="M12" s="169">
        <f t="shared" si="6"/>
        <v>26.315789473684209</v>
      </c>
      <c r="N12" s="162">
        <f>M12/J$36</f>
        <v>0.84889643463497444</v>
      </c>
      <c r="O12" s="163">
        <f>N12*M$36</f>
        <v>10.186757215619693</v>
      </c>
      <c r="P12" s="163">
        <v>5</v>
      </c>
      <c r="Q12" s="164">
        <f t="shared" si="7"/>
        <v>5.1867572156196928</v>
      </c>
      <c r="R12" s="209">
        <f t="shared" si="1"/>
        <v>32.258064516129032</v>
      </c>
      <c r="S12" s="210">
        <f t="shared" si="2"/>
        <v>387.09677419354841</v>
      </c>
      <c r="T12" s="210">
        <f>96.1+243.78</f>
        <v>339.88</v>
      </c>
      <c r="U12" s="210">
        <f t="shared" si="3"/>
        <v>-47.216774193548417</v>
      </c>
      <c r="V12" s="211">
        <f t="shared" si="4"/>
        <v>-0.12197666666666673</v>
      </c>
      <c r="W12" s="212">
        <f t="shared" ref="W12:W18" si="8">T12/P12</f>
        <v>67.975999999999999</v>
      </c>
      <c r="X12" s="213">
        <f>W12-L12</f>
        <v>29.975999999999999</v>
      </c>
      <c r="Y12" s="157" t="s">
        <v>68</v>
      </c>
    </row>
    <row r="13" spans="3:25" x14ac:dyDescent="0.3">
      <c r="C13" s="182"/>
      <c r="D13" s="180"/>
      <c r="E13" s="180"/>
      <c r="F13" s="139">
        <v>23993375943</v>
      </c>
      <c r="G13" s="44" t="s">
        <v>37</v>
      </c>
      <c r="H13" s="172"/>
      <c r="I13" s="174"/>
      <c r="J13" s="178"/>
      <c r="K13" s="166"/>
      <c r="L13" s="168"/>
      <c r="M13" s="170"/>
      <c r="N13" s="162"/>
      <c r="O13" s="163"/>
      <c r="P13" s="163"/>
      <c r="Q13" s="164"/>
      <c r="R13" s="209"/>
      <c r="S13" s="210"/>
      <c r="T13" s="210"/>
      <c r="U13" s="210"/>
      <c r="V13" s="211"/>
      <c r="W13" s="212"/>
      <c r="X13" s="213"/>
      <c r="Y13" s="157"/>
    </row>
    <row r="14" spans="3:25" x14ac:dyDescent="0.3">
      <c r="C14" s="181" t="s">
        <v>14</v>
      </c>
      <c r="D14" s="179" t="s">
        <v>24</v>
      </c>
      <c r="E14" s="179" t="s">
        <v>10</v>
      </c>
      <c r="F14" s="150">
        <v>23267957688</v>
      </c>
      <c r="G14" s="147" t="s">
        <v>70</v>
      </c>
      <c r="H14" s="171">
        <v>1000</v>
      </c>
      <c r="I14" s="173">
        <f>H14/H$30</f>
        <v>1.5873015873015872E-2</v>
      </c>
      <c r="J14" s="167">
        <v>1000</v>
      </c>
      <c r="K14" s="165">
        <f t="shared" si="5"/>
        <v>1</v>
      </c>
      <c r="L14" s="167">
        <v>250</v>
      </c>
      <c r="M14" s="169">
        <f>H14/L14</f>
        <v>4</v>
      </c>
      <c r="N14" s="162">
        <f>M14/J$36</f>
        <v>0.12903225806451613</v>
      </c>
      <c r="O14" s="163">
        <f>N14*M$36</f>
        <v>1.5483870967741935</v>
      </c>
      <c r="P14" s="163">
        <v>2</v>
      </c>
      <c r="Q14" s="164">
        <f t="shared" si="7"/>
        <v>-0.45161290322580649</v>
      </c>
      <c r="R14" s="209">
        <f>H14/J$36</f>
        <v>32.258064516129032</v>
      </c>
      <c r="S14" s="210">
        <f>R14*M$36</f>
        <v>387.09677419354841</v>
      </c>
      <c r="T14" s="210">
        <f>211.4+187.32</f>
        <v>398.72</v>
      </c>
      <c r="U14" s="210">
        <f t="shared" ref="U14:U23" si="9">T14-S14</f>
        <v>11.623225806451615</v>
      </c>
      <c r="V14" s="211">
        <f t="shared" si="4"/>
        <v>3.002666666666667E-2</v>
      </c>
      <c r="W14" s="212">
        <f t="shared" si="8"/>
        <v>199.36</v>
      </c>
      <c r="X14" s="213">
        <f>W14-L14</f>
        <v>-50.639999999999986</v>
      </c>
      <c r="Y14" s="157" t="s">
        <v>68</v>
      </c>
    </row>
    <row r="15" spans="3:25" x14ac:dyDescent="0.3">
      <c r="C15" s="182"/>
      <c r="D15" s="180"/>
      <c r="E15" s="180"/>
      <c r="F15" s="139">
        <v>23993437149</v>
      </c>
      <c r="G15" s="44" t="s">
        <v>38</v>
      </c>
      <c r="H15" s="172"/>
      <c r="I15" s="174"/>
      <c r="J15" s="168"/>
      <c r="K15" s="166"/>
      <c r="L15" s="168"/>
      <c r="M15" s="170"/>
      <c r="N15" s="162"/>
      <c r="O15" s="163"/>
      <c r="P15" s="163"/>
      <c r="Q15" s="164"/>
      <c r="R15" s="209"/>
      <c r="S15" s="210"/>
      <c r="T15" s="210"/>
      <c r="U15" s="210"/>
      <c r="V15" s="211"/>
      <c r="W15" s="212"/>
      <c r="X15" s="213"/>
      <c r="Y15" s="157"/>
    </row>
    <row r="16" spans="3:25" x14ac:dyDescent="0.3">
      <c r="C16" s="43" t="s">
        <v>22</v>
      </c>
      <c r="D16" s="40" t="s">
        <v>24</v>
      </c>
      <c r="E16" s="40" t="s">
        <v>10</v>
      </c>
      <c r="F16" s="139">
        <v>22660883424</v>
      </c>
      <c r="G16" s="44" t="s">
        <v>81</v>
      </c>
      <c r="H16" s="2">
        <v>1500</v>
      </c>
      <c r="I16" s="5">
        <f t="shared" ref="I16:I30" si="10">H16/H$30</f>
        <v>2.3809523809523808E-2</v>
      </c>
      <c r="J16" s="6">
        <v>320</v>
      </c>
      <c r="K16" s="7">
        <f>H16/J16</f>
        <v>4.6875</v>
      </c>
      <c r="L16" s="6">
        <v>40</v>
      </c>
      <c r="M16" s="20">
        <f>H16/L16</f>
        <v>37.5</v>
      </c>
      <c r="N16" s="66">
        <f>M16/J$36</f>
        <v>1.2096774193548387</v>
      </c>
      <c r="O16" s="74">
        <f>N16*M$36</f>
        <v>14.516129032258064</v>
      </c>
      <c r="P16" s="74">
        <v>15</v>
      </c>
      <c r="Q16" s="75">
        <f>O16-P16</f>
        <v>-0.48387096774193594</v>
      </c>
      <c r="R16" s="81">
        <f>H16/J$36</f>
        <v>48.387096774193552</v>
      </c>
      <c r="S16" s="51">
        <f>R16*M$36</f>
        <v>580.64516129032268</v>
      </c>
      <c r="T16" s="51">
        <v>780.06</v>
      </c>
      <c r="U16" s="51">
        <f>T16-S16</f>
        <v>199.41483870967727</v>
      </c>
      <c r="V16" s="57">
        <f>U16/S16</f>
        <v>0.34343666666666633</v>
      </c>
      <c r="W16" s="58">
        <f>T16/P16</f>
        <v>52.003999999999998</v>
      </c>
      <c r="X16" s="116">
        <f>W16-L16</f>
        <v>12.003999999999998</v>
      </c>
    </row>
    <row r="17" spans="3:25" x14ac:dyDescent="0.3">
      <c r="C17" s="43" t="s">
        <v>22</v>
      </c>
      <c r="D17" s="40" t="s">
        <v>24</v>
      </c>
      <c r="E17" s="40" t="s">
        <v>12</v>
      </c>
      <c r="F17" s="139">
        <v>21905808840</v>
      </c>
      <c r="G17" s="44" t="s">
        <v>35</v>
      </c>
      <c r="H17" s="14">
        <v>1500</v>
      </c>
      <c r="I17" s="15">
        <f t="shared" si="10"/>
        <v>2.3809523809523808E-2</v>
      </c>
      <c r="J17" s="16">
        <v>1000</v>
      </c>
      <c r="K17" s="7">
        <f t="shared" si="5"/>
        <v>1.5</v>
      </c>
      <c r="L17" s="16">
        <v>15</v>
      </c>
      <c r="M17" s="20">
        <f t="shared" si="6"/>
        <v>100</v>
      </c>
      <c r="N17" s="66">
        <f>M17/J$36</f>
        <v>3.225806451612903</v>
      </c>
      <c r="O17" s="74">
        <f>N17*M$36</f>
        <v>38.709677419354833</v>
      </c>
      <c r="P17" s="74">
        <v>78</v>
      </c>
      <c r="Q17" s="75">
        <f t="shared" si="7"/>
        <v>-39.290322580645167</v>
      </c>
      <c r="R17" s="81">
        <f>H17/J$36</f>
        <v>48.387096774193552</v>
      </c>
      <c r="S17" s="51">
        <f>R17*M$36</f>
        <v>580.64516129032268</v>
      </c>
      <c r="T17" s="51">
        <v>976.11</v>
      </c>
      <c r="U17" s="51">
        <f t="shared" si="9"/>
        <v>395.46483870967734</v>
      </c>
      <c r="V17" s="57">
        <f t="shared" si="4"/>
        <v>0.68107833333333312</v>
      </c>
      <c r="W17" s="58">
        <f t="shared" si="8"/>
        <v>12.514230769230769</v>
      </c>
      <c r="X17" s="116">
        <f>W17-L17</f>
        <v>-2.4857692307692307</v>
      </c>
      <c r="Y17" t="s">
        <v>63</v>
      </c>
    </row>
    <row r="18" spans="3:25" x14ac:dyDescent="0.3">
      <c r="C18" s="43" t="s">
        <v>14</v>
      </c>
      <c r="D18" s="40" t="s">
        <v>25</v>
      </c>
      <c r="E18" s="40" t="s">
        <v>12</v>
      </c>
      <c r="F18" s="143">
        <v>6944411197975</v>
      </c>
      <c r="G18" s="45" t="s">
        <v>31</v>
      </c>
      <c r="H18" s="171">
        <v>10000</v>
      </c>
      <c r="I18" s="173">
        <f t="shared" si="10"/>
        <v>0.15873015873015872</v>
      </c>
      <c r="J18" s="214">
        <v>500</v>
      </c>
      <c r="K18" s="215">
        <f t="shared" si="5"/>
        <v>20</v>
      </c>
      <c r="L18" s="216">
        <v>12.8</v>
      </c>
      <c r="M18" s="217">
        <f>H18/L18</f>
        <v>781.25</v>
      </c>
      <c r="N18" s="222">
        <f>M18/J$36</f>
        <v>25.201612903225808</v>
      </c>
      <c r="O18" s="223">
        <f>N18*M$36</f>
        <v>302.41935483870969</v>
      </c>
      <c r="P18" s="223">
        <v>259</v>
      </c>
      <c r="Q18" s="164">
        <f t="shared" si="7"/>
        <v>43.419354838709694</v>
      </c>
      <c r="R18" s="209">
        <f>H18/J$36</f>
        <v>322.58064516129031</v>
      </c>
      <c r="S18" s="210">
        <f>R18*M$36</f>
        <v>3870.9677419354839</v>
      </c>
      <c r="T18" s="210">
        <v>4919.43</v>
      </c>
      <c r="U18" s="210">
        <f t="shared" si="9"/>
        <v>1048.4622580645164</v>
      </c>
      <c r="V18" s="211">
        <f t="shared" si="4"/>
        <v>0.27085275000000009</v>
      </c>
      <c r="W18" s="58">
        <f t="shared" si="8"/>
        <v>18.993938223938226</v>
      </c>
      <c r="X18" s="116">
        <f>W18-L18</f>
        <v>6.1939382239382255</v>
      </c>
      <c r="Y18" t="s">
        <v>65</v>
      </c>
    </row>
    <row r="19" spans="3:25" x14ac:dyDescent="0.3">
      <c r="C19" s="43" t="s">
        <v>14</v>
      </c>
      <c r="D19" s="40" t="s">
        <v>25</v>
      </c>
      <c r="E19" s="40" t="s">
        <v>12</v>
      </c>
      <c r="F19" s="144"/>
      <c r="G19" s="186" t="s">
        <v>32</v>
      </c>
      <c r="H19" s="172"/>
      <c r="I19" s="174"/>
      <c r="J19" s="218"/>
      <c r="K19" s="219"/>
      <c r="L19" s="220"/>
      <c r="M19" s="221"/>
      <c r="N19" s="222"/>
      <c r="O19" s="223"/>
      <c r="P19" s="223"/>
      <c r="Q19" s="164"/>
      <c r="R19" s="209"/>
      <c r="S19" s="210"/>
      <c r="T19" s="210"/>
      <c r="U19" s="210"/>
      <c r="V19" s="211"/>
      <c r="W19" s="58"/>
      <c r="X19" s="116"/>
    </row>
    <row r="20" spans="3:25" x14ac:dyDescent="0.3">
      <c r="C20" s="43" t="s">
        <v>14</v>
      </c>
      <c r="D20" s="40" t="s">
        <v>25</v>
      </c>
      <c r="E20" s="40" t="s">
        <v>12</v>
      </c>
      <c r="F20" s="143">
        <v>6970690462575</v>
      </c>
      <c r="G20" s="44" t="s">
        <v>19</v>
      </c>
      <c r="H20" s="2">
        <v>500</v>
      </c>
      <c r="I20" s="5">
        <f t="shared" si="10"/>
        <v>7.9365079365079361E-3</v>
      </c>
      <c r="J20" s="6">
        <v>540</v>
      </c>
      <c r="K20" s="7">
        <f t="shared" si="5"/>
        <v>0.92592592592592593</v>
      </c>
      <c r="L20" s="6">
        <v>40</v>
      </c>
      <c r="M20" s="20">
        <f>H20/L20</f>
        <v>12.5</v>
      </c>
      <c r="N20" s="66">
        <f>M20/J$36</f>
        <v>0.40322580645161288</v>
      </c>
      <c r="O20" s="74">
        <f>N20*M$36</f>
        <v>4.8387096774193541</v>
      </c>
      <c r="P20" s="74">
        <f>1+24</f>
        <v>25</v>
      </c>
      <c r="Q20" s="75">
        <f t="shared" si="7"/>
        <v>-20.161290322580648</v>
      </c>
      <c r="R20" s="81">
        <f>H20/J$36</f>
        <v>16.129032258064516</v>
      </c>
      <c r="S20" s="51">
        <f>R20*M$36</f>
        <v>193.54838709677421</v>
      </c>
      <c r="T20" s="51">
        <v>246.67</v>
      </c>
      <c r="U20" s="51">
        <f t="shared" si="9"/>
        <v>53.121612903225781</v>
      </c>
      <c r="V20" s="57">
        <f t="shared" si="4"/>
        <v>0.27446166666666649</v>
      </c>
      <c r="W20" s="58">
        <f>T20/P20</f>
        <v>9.8667999999999996</v>
      </c>
      <c r="X20" s="116">
        <f>W20-L20</f>
        <v>-30.133200000000002</v>
      </c>
    </row>
    <row r="21" spans="3:25" x14ac:dyDescent="0.3">
      <c r="C21" s="43" t="s">
        <v>14</v>
      </c>
      <c r="D21" s="40" t="s">
        <v>25</v>
      </c>
      <c r="E21" s="40" t="s">
        <v>12</v>
      </c>
      <c r="F21" s="143">
        <v>6634088776775</v>
      </c>
      <c r="G21" s="42" t="s">
        <v>20</v>
      </c>
      <c r="H21" s="2">
        <v>1000</v>
      </c>
      <c r="I21" s="5">
        <f t="shared" si="10"/>
        <v>1.5873015873015872E-2</v>
      </c>
      <c r="J21" s="6">
        <v>540</v>
      </c>
      <c r="K21" s="7">
        <f t="shared" si="5"/>
        <v>1.8518518518518519</v>
      </c>
      <c r="L21" s="6">
        <v>90</v>
      </c>
      <c r="M21" s="20">
        <f>H21/L21</f>
        <v>11.111111111111111</v>
      </c>
      <c r="N21" s="66">
        <f>M21/J$36</f>
        <v>0.35842293906810035</v>
      </c>
      <c r="O21" s="74">
        <f>N21*M$36</f>
        <v>4.301075268817204</v>
      </c>
      <c r="P21" s="74">
        <v>15</v>
      </c>
      <c r="Q21" s="75">
        <f t="shared" si="7"/>
        <v>-10.698924731182796</v>
      </c>
      <c r="R21" s="81">
        <f>H21/J$36</f>
        <v>32.258064516129032</v>
      </c>
      <c r="S21" s="51">
        <f>R21*M$36</f>
        <v>387.09677419354841</v>
      </c>
      <c r="T21" s="51">
        <v>441.57</v>
      </c>
      <c r="U21" s="51">
        <f t="shared" si="9"/>
        <v>54.47322580645158</v>
      </c>
      <c r="V21" s="57">
        <f t="shared" si="4"/>
        <v>0.14072249999999992</v>
      </c>
      <c r="W21" s="58">
        <f>T21/P21</f>
        <v>29.437999999999999</v>
      </c>
      <c r="X21" s="116">
        <f>W21-L21</f>
        <v>-60.561999999999998</v>
      </c>
    </row>
    <row r="22" spans="3:25" x14ac:dyDescent="0.3">
      <c r="C22" s="43" t="s">
        <v>14</v>
      </c>
      <c r="D22" s="40" t="s">
        <v>25</v>
      </c>
      <c r="E22" s="40" t="s">
        <v>12</v>
      </c>
      <c r="F22" s="143">
        <v>6666147663775</v>
      </c>
      <c r="G22" s="42" t="s">
        <v>21</v>
      </c>
      <c r="H22" s="2">
        <v>500</v>
      </c>
      <c r="I22" s="5">
        <f t="shared" si="10"/>
        <v>7.9365079365079361E-3</v>
      </c>
      <c r="J22" s="6">
        <v>540</v>
      </c>
      <c r="K22" s="7">
        <f t="shared" si="5"/>
        <v>0.92592592592592593</v>
      </c>
      <c r="L22" s="6">
        <v>120</v>
      </c>
      <c r="M22" s="20">
        <f>H22/L22</f>
        <v>4.166666666666667</v>
      </c>
      <c r="N22" s="66">
        <f>M22/J$36</f>
        <v>0.13440860215053765</v>
      </c>
      <c r="O22" s="74">
        <f>N22*M$36</f>
        <v>1.612903225806452</v>
      </c>
      <c r="P22" s="74"/>
      <c r="Q22" s="75">
        <f t="shared" si="7"/>
        <v>1.612903225806452</v>
      </c>
      <c r="R22" s="81">
        <f>H22/J$36</f>
        <v>16.129032258064516</v>
      </c>
      <c r="S22" s="51">
        <f>R22*M$36</f>
        <v>193.54838709677421</v>
      </c>
      <c r="T22" s="51">
        <v>205.99</v>
      </c>
      <c r="U22" s="51">
        <f t="shared" si="9"/>
        <v>12.441612903225803</v>
      </c>
      <c r="V22" s="57">
        <f t="shared" si="4"/>
        <v>6.428166666666664E-2</v>
      </c>
      <c r="W22" s="58" t="e">
        <f>T22/P22</f>
        <v>#DIV/0!</v>
      </c>
      <c r="X22" s="116" t="e">
        <f>W22-L22</f>
        <v>#DIV/0!</v>
      </c>
    </row>
    <row r="23" spans="3:25" x14ac:dyDescent="0.3">
      <c r="C23" s="43" t="s">
        <v>22</v>
      </c>
      <c r="D23" s="40" t="s">
        <v>25</v>
      </c>
      <c r="E23" s="40" t="s">
        <v>12</v>
      </c>
      <c r="F23" s="143">
        <v>6901683340975</v>
      </c>
      <c r="G23" s="44" t="s">
        <v>29</v>
      </c>
      <c r="H23" s="2">
        <v>1000</v>
      </c>
      <c r="I23" s="5">
        <f t="shared" si="10"/>
        <v>1.5873015873015872E-2</v>
      </c>
      <c r="J23" s="6">
        <v>400</v>
      </c>
      <c r="K23" s="7">
        <f t="shared" si="5"/>
        <v>2.5</v>
      </c>
      <c r="L23" s="6">
        <v>26</v>
      </c>
      <c r="M23" s="20">
        <f>H23/L23</f>
        <v>38.46153846153846</v>
      </c>
      <c r="N23" s="66">
        <f>M23/J$36</f>
        <v>1.2406947890818858</v>
      </c>
      <c r="O23" s="74">
        <f>N23*M$36</f>
        <v>14.88833746898263</v>
      </c>
      <c r="P23" s="74">
        <v>41</v>
      </c>
      <c r="Q23" s="75">
        <f t="shared" si="7"/>
        <v>-26.11166253101737</v>
      </c>
      <c r="R23" s="81">
        <f>H23/J$36</f>
        <v>32.258064516129032</v>
      </c>
      <c r="S23" s="51">
        <f>R23*M$36</f>
        <v>387.09677419354841</v>
      </c>
      <c r="T23" s="51">
        <v>590.65</v>
      </c>
      <c r="U23" s="51">
        <f t="shared" si="9"/>
        <v>203.55322580645156</v>
      </c>
      <c r="V23" s="57">
        <f t="shared" si="4"/>
        <v>0.52584583333333312</v>
      </c>
      <c r="W23" s="58">
        <f>T23/P23</f>
        <v>14.40609756097561</v>
      </c>
      <c r="X23" s="116">
        <f>W23-L23</f>
        <v>-11.59390243902439</v>
      </c>
    </row>
    <row r="24" spans="3:25" ht="15" thickBot="1" x14ac:dyDescent="0.35">
      <c r="C24" s="84" t="s">
        <v>39</v>
      </c>
      <c r="D24" s="85" t="s">
        <v>25</v>
      </c>
      <c r="E24" s="85" t="s">
        <v>12</v>
      </c>
      <c r="F24" s="140">
        <v>52533122877779</v>
      </c>
      <c r="G24" s="86" t="s">
        <v>40</v>
      </c>
      <c r="H24" s="87"/>
      <c r="I24" s="88">
        <f t="shared" si="10"/>
        <v>0</v>
      </c>
      <c r="J24" s="89"/>
      <c r="K24" s="90"/>
      <c r="L24" s="89"/>
      <c r="M24" s="91"/>
      <c r="N24" s="66"/>
      <c r="O24" s="74"/>
      <c r="P24" s="52"/>
      <c r="Q24" s="75"/>
      <c r="R24" s="81"/>
      <c r="S24" s="51"/>
      <c r="T24" s="51"/>
      <c r="U24" s="52"/>
      <c r="V24" s="80"/>
      <c r="W24" s="70"/>
      <c r="X24" s="116"/>
    </row>
    <row r="25" spans="3:25" s="4" customFormat="1" ht="15" thickBot="1" x14ac:dyDescent="0.35">
      <c r="C25" s="24" t="s">
        <v>23</v>
      </c>
      <c r="D25" s="25"/>
      <c r="E25" s="25"/>
      <c r="F25" s="141"/>
      <c r="G25" s="100"/>
      <c r="H25" s="101">
        <f>SUM(H9:H23)</f>
        <v>31000</v>
      </c>
      <c r="I25" s="102">
        <f t="shared" si="10"/>
        <v>0.49206349206349204</v>
      </c>
      <c r="J25" s="28">
        <f>H25/K25</f>
        <v>560.01672690343196</v>
      </c>
      <c r="K25" s="29">
        <f>SUM(K9:K23)</f>
        <v>55.355489417989418</v>
      </c>
      <c r="L25" s="28">
        <f>H25/M25</f>
        <v>22.682068258169956</v>
      </c>
      <c r="M25" s="30">
        <f>SUM(M9:M23)</f>
        <v>1366.7183983027637</v>
      </c>
      <c r="N25" s="59">
        <f>M25/J$36</f>
        <v>44.087690267831086</v>
      </c>
      <c r="O25" s="60">
        <f>N25*M$36</f>
        <v>529.05228321397306</v>
      </c>
      <c r="P25" s="224">
        <f>SUM(P9:P24)</f>
        <v>599</v>
      </c>
      <c r="Q25" s="61">
        <f t="shared" si="7"/>
        <v>-69.947716786026945</v>
      </c>
      <c r="R25" s="113">
        <f>H25/J$36</f>
        <v>1000</v>
      </c>
      <c r="S25" s="105">
        <f>R25*M$36</f>
        <v>12000</v>
      </c>
      <c r="T25" s="105">
        <f>SUM(T9:T24)</f>
        <v>14681.16</v>
      </c>
      <c r="U25" s="122">
        <f>T25-S25</f>
        <v>2681.16</v>
      </c>
      <c r="V25" s="115">
        <f>U25/S25</f>
        <v>0.22342999999999999</v>
      </c>
      <c r="W25" s="118">
        <f t="shared" ref="W25:W30" si="11">T25/P25</f>
        <v>24.509449081803005</v>
      </c>
      <c r="X25" s="119">
        <f>W25-L25</f>
        <v>1.8273808236330495</v>
      </c>
    </row>
    <row r="26" spans="3:25" x14ac:dyDescent="0.3">
      <c r="C26" s="175" t="s">
        <v>14</v>
      </c>
      <c r="D26" s="92" t="s">
        <v>27</v>
      </c>
      <c r="E26" s="93" t="s">
        <v>15</v>
      </c>
      <c r="F26" s="145"/>
      <c r="G26" s="94" t="s">
        <v>16</v>
      </c>
      <c r="H26" s="95">
        <v>5000</v>
      </c>
      <c r="I26" s="96">
        <f t="shared" si="10"/>
        <v>7.9365079365079361E-2</v>
      </c>
      <c r="J26" s="97">
        <v>450</v>
      </c>
      <c r="K26" s="98">
        <f>H26/J26</f>
        <v>11.111111111111111</v>
      </c>
      <c r="L26" s="99">
        <v>7.6</v>
      </c>
      <c r="M26" s="49">
        <f>H26/L26</f>
        <v>657.89473684210532</v>
      </c>
      <c r="N26" s="56">
        <f>M26/K$36</f>
        <v>28.604118993135014</v>
      </c>
      <c r="O26" s="74">
        <f>N26*N$36</f>
        <v>228.83295194508011</v>
      </c>
      <c r="P26" s="74">
        <f>21+218</f>
        <v>239</v>
      </c>
      <c r="Q26" s="75">
        <f t="shared" si="7"/>
        <v>-10.167048054919889</v>
      </c>
      <c r="R26" s="81">
        <f>H26/K$36</f>
        <v>217.39130434782609</v>
      </c>
      <c r="S26" s="51">
        <f>R26*N$36</f>
        <v>1739.1304347826087</v>
      </c>
      <c r="T26" s="51">
        <f>P26*7.6</f>
        <v>1816.3999999999999</v>
      </c>
      <c r="U26" s="51">
        <f>T26-S26</f>
        <v>77.269565217391118</v>
      </c>
      <c r="V26" s="57">
        <f t="shared" ref="V26:V30" si="12">U26/S26</f>
        <v>4.4429999999999893E-2</v>
      </c>
      <c r="W26" s="58">
        <f t="shared" si="11"/>
        <v>7.6</v>
      </c>
      <c r="X26" s="116"/>
    </row>
    <row r="27" spans="3:25" x14ac:dyDescent="0.3">
      <c r="C27" s="175"/>
      <c r="D27" s="40" t="s">
        <v>27</v>
      </c>
      <c r="E27" s="46" t="s">
        <v>15</v>
      </c>
      <c r="F27" s="144"/>
      <c r="G27" s="44" t="s">
        <v>17</v>
      </c>
      <c r="H27" s="2">
        <v>4000</v>
      </c>
      <c r="I27" s="5">
        <f t="shared" si="10"/>
        <v>6.3492063492063489E-2</v>
      </c>
      <c r="J27" s="6">
        <v>350</v>
      </c>
      <c r="K27" s="7">
        <f>H27/J27</f>
        <v>11.428571428571429</v>
      </c>
      <c r="L27" s="6">
        <v>9</v>
      </c>
      <c r="M27" s="20">
        <f>H27/L27</f>
        <v>444.44444444444446</v>
      </c>
      <c r="N27" s="56">
        <f t="shared" ref="N27:N28" si="13">M27/K$36</f>
        <v>19.323671497584542</v>
      </c>
      <c r="O27" s="74">
        <f>N27*N$36</f>
        <v>154.58937198067633</v>
      </c>
      <c r="P27" s="74">
        <v>131</v>
      </c>
      <c r="Q27" s="75">
        <f t="shared" si="7"/>
        <v>23.589371980676333</v>
      </c>
      <c r="R27" s="81">
        <f t="shared" ref="R27:R28" si="14">H27/K$36</f>
        <v>173.91304347826087</v>
      </c>
      <c r="S27" s="51">
        <f t="shared" ref="S27:S28" si="15">R27*N$36</f>
        <v>1391.304347826087</v>
      </c>
      <c r="T27" s="51">
        <f>P27*9</f>
        <v>1179</v>
      </c>
      <c r="U27" s="51">
        <f t="shared" ref="U27:U29" si="16">T27-S27</f>
        <v>-212.304347826087</v>
      </c>
      <c r="V27" s="57">
        <f t="shared" si="12"/>
        <v>-0.15259375000000003</v>
      </c>
      <c r="W27" s="58">
        <f t="shared" si="11"/>
        <v>9</v>
      </c>
      <c r="X27" s="116"/>
    </row>
    <row r="28" spans="3:25" ht="15" thickBot="1" x14ac:dyDescent="0.35">
      <c r="C28" s="175"/>
      <c r="D28" s="106" t="s">
        <v>27</v>
      </c>
      <c r="E28" s="123" t="s">
        <v>15</v>
      </c>
      <c r="F28" s="146"/>
      <c r="G28" s="124" t="s">
        <v>33</v>
      </c>
      <c r="H28" s="125">
        <v>2000</v>
      </c>
      <c r="I28" s="109">
        <f t="shared" si="10"/>
        <v>3.1746031746031744E-2</v>
      </c>
      <c r="J28" s="126">
        <v>300</v>
      </c>
      <c r="K28" s="127">
        <f>H28/J28</f>
        <v>6.666666666666667</v>
      </c>
      <c r="L28" s="128">
        <v>8</v>
      </c>
      <c r="M28" s="111">
        <f>H28/L28</f>
        <v>250</v>
      </c>
      <c r="N28" s="56">
        <f t="shared" si="13"/>
        <v>10.869565217391305</v>
      </c>
      <c r="O28" s="74">
        <f t="shared" ref="O27:O28" si="17">N28*N$36</f>
        <v>86.956521739130437</v>
      </c>
      <c r="P28" s="74">
        <f>2+152</f>
        <v>154</v>
      </c>
      <c r="Q28" s="75">
        <f t="shared" si="7"/>
        <v>-67.043478260869563</v>
      </c>
      <c r="R28" s="81">
        <f t="shared" si="14"/>
        <v>86.956521739130437</v>
      </c>
      <c r="S28" s="51">
        <f t="shared" si="15"/>
        <v>695.6521739130435</v>
      </c>
      <c r="T28" s="51">
        <f>P28*8</f>
        <v>1232</v>
      </c>
      <c r="U28" s="51">
        <f t="shared" si="16"/>
        <v>536.3478260869565</v>
      </c>
      <c r="V28" s="57">
        <f t="shared" si="12"/>
        <v>0.77099999999999991</v>
      </c>
      <c r="W28" s="58">
        <f t="shared" si="11"/>
        <v>8</v>
      </c>
      <c r="X28" s="116"/>
    </row>
    <row r="29" spans="3:25" s="4" customFormat="1" ht="15" thickBot="1" x14ac:dyDescent="0.35">
      <c r="C29" s="24" t="s">
        <v>18</v>
      </c>
      <c r="D29" s="25"/>
      <c r="E29" s="25"/>
      <c r="F29" s="137"/>
      <c r="G29" s="129"/>
      <c r="H29" s="130">
        <f>SUM(H26:H28)</f>
        <v>11000</v>
      </c>
      <c r="I29" s="102">
        <f t="shared" si="10"/>
        <v>0.17460317460317459</v>
      </c>
      <c r="J29" s="131">
        <f>H29/K29</f>
        <v>376.63043478260869</v>
      </c>
      <c r="K29" s="132">
        <f>SUM(K26:K28)</f>
        <v>29.206349206349206</v>
      </c>
      <c r="L29" s="28">
        <f>H29/M29</f>
        <v>8.1340540540540545</v>
      </c>
      <c r="M29" s="133">
        <f>SUM(M26:M28)</f>
        <v>1352.3391812865498</v>
      </c>
      <c r="N29" s="59">
        <f>M29/K$36</f>
        <v>58.797355708110857</v>
      </c>
      <c r="O29" s="60">
        <f>N29*N$36</f>
        <v>470.37884566488685</v>
      </c>
      <c r="P29" s="60">
        <f>SUM(P26:P28)</f>
        <v>524</v>
      </c>
      <c r="Q29" s="61">
        <f t="shared" si="7"/>
        <v>-53.621154335113147</v>
      </c>
      <c r="R29" s="113">
        <f>H29/K$36</f>
        <v>478.26086956521738</v>
      </c>
      <c r="S29" s="62">
        <f>R29*N$36</f>
        <v>3826.086956521739</v>
      </c>
      <c r="T29" s="62">
        <f>SUM(T26:T28)</f>
        <v>4227.3999999999996</v>
      </c>
      <c r="U29" s="62">
        <f t="shared" si="16"/>
        <v>401.31304347826062</v>
      </c>
      <c r="V29" s="63">
        <f t="shared" si="12"/>
        <v>0.10488863636363631</v>
      </c>
      <c r="W29" s="64">
        <f t="shared" si="11"/>
        <v>8.0675572519083971</v>
      </c>
      <c r="X29" s="65"/>
    </row>
    <row r="30" spans="3:25" s="4" customFormat="1" ht="15" thickBot="1" x14ac:dyDescent="0.35">
      <c r="C30" s="22"/>
      <c r="D30" s="21"/>
      <c r="E30" s="9"/>
      <c r="F30" s="138"/>
      <c r="G30" s="9"/>
      <c r="H30" s="23">
        <f>SUM(H8+H25+H29)</f>
        <v>63000</v>
      </c>
      <c r="I30" s="11">
        <f t="shared" si="10"/>
        <v>1</v>
      </c>
      <c r="J30" s="10">
        <f>H30/K30</f>
        <v>468.18623053954752</v>
      </c>
      <c r="K30" s="12">
        <f>K8+K25+K29</f>
        <v>134.56183862433863</v>
      </c>
      <c r="L30" s="10">
        <f>H30/M30</f>
        <v>19.77572292204534</v>
      </c>
      <c r="M30" s="13">
        <f>M8+M25+M29</f>
        <v>3185.7242462559802</v>
      </c>
      <c r="N30" s="76">
        <f>N29+N25+N8</f>
        <v>117.93880941680217</v>
      </c>
      <c r="O30" s="76">
        <f>O29+O25+O8</f>
        <v>1180.0762901691826</v>
      </c>
      <c r="P30" s="77">
        <f>P29+P25+P8</f>
        <v>1338</v>
      </c>
      <c r="Q30" s="134">
        <f>O30-P30</f>
        <v>-157.92370983081742</v>
      </c>
      <c r="R30" s="82">
        <f>H30/31</f>
        <v>2032.258064516129</v>
      </c>
      <c r="S30" s="83">
        <f>R30*M$36</f>
        <v>24387.096774193549</v>
      </c>
      <c r="T30" s="83">
        <f>T29+T25+T8</f>
        <v>27880.829999999998</v>
      </c>
      <c r="U30" s="83">
        <f>T30-S30</f>
        <v>3493.7332258064489</v>
      </c>
      <c r="V30" s="114">
        <f t="shared" si="12"/>
        <v>0.1432615476190475</v>
      </c>
      <c r="W30" s="120">
        <f t="shared" si="11"/>
        <v>20.837690582959638</v>
      </c>
      <c r="X30" s="121">
        <f>W30-L30</f>
        <v>1.0619676609142985</v>
      </c>
    </row>
    <row r="32" spans="3:25" x14ac:dyDescent="0.3">
      <c r="J32" s="47"/>
      <c r="L32" s="47"/>
      <c r="M32" s="3"/>
      <c r="N32" s="52"/>
      <c r="V32" s="51"/>
    </row>
    <row r="33" spans="3:19" x14ac:dyDescent="0.3">
      <c r="G33" s="47"/>
    </row>
    <row r="34" spans="3:19" x14ac:dyDescent="0.3">
      <c r="H34" s="47"/>
    </row>
    <row r="35" spans="3:19" x14ac:dyDescent="0.3">
      <c r="C35" s="31" t="s">
        <v>58</v>
      </c>
      <c r="D35" s="31" t="s">
        <v>36</v>
      </c>
      <c r="E35" t="s">
        <v>57</v>
      </c>
      <c r="J35" t="s">
        <v>54</v>
      </c>
      <c r="K35" t="s">
        <v>55</v>
      </c>
      <c r="L35" s="48"/>
      <c r="M35" t="s">
        <v>59</v>
      </c>
      <c r="N35" t="s">
        <v>56</v>
      </c>
      <c r="Q35" s="148"/>
      <c r="R35" s="42" t="s">
        <v>61</v>
      </c>
      <c r="S35" s="42" t="s">
        <v>62</v>
      </c>
    </row>
    <row r="36" spans="3:19" x14ac:dyDescent="0.3">
      <c r="C36" s="53">
        <v>46204</v>
      </c>
      <c r="D36">
        <v>2</v>
      </c>
      <c r="E36">
        <v>128</v>
      </c>
      <c r="J36">
        <v>31</v>
      </c>
      <c r="K36">
        <v>23</v>
      </c>
      <c r="M36">
        <v>12</v>
      </c>
      <c r="N36">
        <v>8</v>
      </c>
      <c r="Q36" s="148" t="s">
        <v>44</v>
      </c>
      <c r="R36" s="149">
        <f>(H3+H5+H9+H10+H12+H14+H17+H16)/J36*M36</f>
        <v>11225.806451612903</v>
      </c>
      <c r="S36" s="149">
        <f>T3+T5+T9+T10+T12+T14+T17+T16</f>
        <v>13026.019999999999</v>
      </c>
    </row>
    <row r="37" spans="3:19" x14ac:dyDescent="0.3">
      <c r="C37" s="53">
        <v>46205</v>
      </c>
      <c r="D37">
        <v>6</v>
      </c>
      <c r="E37">
        <v>107</v>
      </c>
      <c r="Q37" s="148" t="s">
        <v>45</v>
      </c>
      <c r="R37" s="149">
        <f>(H7+H18+H19+H20+H21+H22)/J36*M36</f>
        <v>8516.1290322580644</v>
      </c>
      <c r="S37" s="149">
        <f>T7+T18+T20+T21+T22+T23+T24</f>
        <v>10627.41</v>
      </c>
    </row>
    <row r="38" spans="3:19" x14ac:dyDescent="0.3">
      <c r="C38" s="53">
        <v>46206</v>
      </c>
      <c r="D38">
        <v>8</v>
      </c>
      <c r="E38">
        <v>110</v>
      </c>
      <c r="Q38" s="148" t="s">
        <v>46</v>
      </c>
      <c r="R38" s="41">
        <f>(H26+H27+H28)/K36*N36</f>
        <v>3826.086956521739</v>
      </c>
      <c r="S38" s="149">
        <f>T26+T27+T28</f>
        <v>4227.3999999999996</v>
      </c>
    </row>
    <row r="39" spans="3:19" x14ac:dyDescent="0.3">
      <c r="C39" s="53">
        <v>46207</v>
      </c>
      <c r="D39">
        <v>2</v>
      </c>
      <c r="E39">
        <v>72</v>
      </c>
      <c r="Q39" s="148" t="s">
        <v>60</v>
      </c>
      <c r="R39" s="42"/>
      <c r="S39" s="149">
        <f>SUM(S36:S38)</f>
        <v>27880.83</v>
      </c>
    </row>
    <row r="40" spans="3:19" x14ac:dyDescent="0.3">
      <c r="C40" s="53">
        <v>46208</v>
      </c>
      <c r="D40">
        <v>0</v>
      </c>
      <c r="E40">
        <v>73</v>
      </c>
    </row>
    <row r="41" spans="3:19" x14ac:dyDescent="0.3">
      <c r="C41" s="53">
        <v>46209</v>
      </c>
      <c r="D41">
        <v>1</v>
      </c>
      <c r="E41">
        <v>108</v>
      </c>
    </row>
    <row r="42" spans="3:19" x14ac:dyDescent="0.3">
      <c r="C42" s="53">
        <v>46210</v>
      </c>
      <c r="D42">
        <v>0</v>
      </c>
      <c r="E42">
        <v>133</v>
      </c>
    </row>
    <row r="43" spans="3:19" x14ac:dyDescent="0.3">
      <c r="C43" s="53">
        <v>46211</v>
      </c>
      <c r="D43">
        <v>16</v>
      </c>
      <c r="E43">
        <v>131</v>
      </c>
    </row>
    <row r="44" spans="3:19" x14ac:dyDescent="0.3">
      <c r="C44" s="53">
        <v>46212</v>
      </c>
      <c r="D44">
        <v>32</v>
      </c>
      <c r="E44">
        <v>149</v>
      </c>
    </row>
    <row r="45" spans="3:19" x14ac:dyDescent="0.3">
      <c r="C45" s="53">
        <v>46213</v>
      </c>
      <c r="D45">
        <v>74</v>
      </c>
      <c r="E45">
        <v>226</v>
      </c>
    </row>
    <row r="46" spans="3:19" x14ac:dyDescent="0.3">
      <c r="C46" s="53">
        <v>46214</v>
      </c>
      <c r="D46">
        <v>0</v>
      </c>
      <c r="E46">
        <v>78</v>
      </c>
    </row>
    <row r="47" spans="3:19" x14ac:dyDescent="0.3">
      <c r="C47" s="53">
        <v>46215</v>
      </c>
      <c r="D47">
        <v>0</v>
      </c>
      <c r="E47">
        <v>76</v>
      </c>
    </row>
    <row r="48" spans="3:19" x14ac:dyDescent="0.3">
      <c r="C48" s="53">
        <v>46216</v>
      </c>
      <c r="D48"/>
    </row>
    <row r="49" spans="3:4" x14ac:dyDescent="0.3">
      <c r="C49" s="53">
        <v>46217</v>
      </c>
      <c r="D49"/>
    </row>
    <row r="50" spans="3:4" x14ac:dyDescent="0.3">
      <c r="C50" s="53">
        <v>46218</v>
      </c>
      <c r="D50"/>
    </row>
    <row r="51" spans="3:4" x14ac:dyDescent="0.3">
      <c r="C51" s="53">
        <v>46219</v>
      </c>
      <c r="D51"/>
    </row>
    <row r="52" spans="3:4" x14ac:dyDescent="0.3">
      <c r="C52" s="53">
        <v>46220</v>
      </c>
      <c r="D52"/>
    </row>
    <row r="53" spans="3:4" x14ac:dyDescent="0.3">
      <c r="C53" s="53">
        <v>46221</v>
      </c>
      <c r="D53"/>
    </row>
    <row r="54" spans="3:4" x14ac:dyDescent="0.3">
      <c r="C54" s="53">
        <v>46222</v>
      </c>
      <c r="D54"/>
    </row>
    <row r="55" spans="3:4" x14ac:dyDescent="0.3">
      <c r="C55" s="53">
        <v>46223</v>
      </c>
      <c r="D55"/>
    </row>
    <row r="56" spans="3:4" x14ac:dyDescent="0.3">
      <c r="C56" s="53">
        <v>46224</v>
      </c>
      <c r="D56"/>
    </row>
    <row r="57" spans="3:4" x14ac:dyDescent="0.3">
      <c r="C57" s="53">
        <v>46225</v>
      </c>
      <c r="D57"/>
    </row>
    <row r="58" spans="3:4" x14ac:dyDescent="0.3">
      <c r="C58" s="53">
        <v>46226</v>
      </c>
      <c r="D58"/>
    </row>
    <row r="59" spans="3:4" x14ac:dyDescent="0.3">
      <c r="C59" s="53">
        <v>46227</v>
      </c>
      <c r="D59"/>
    </row>
    <row r="60" spans="3:4" x14ac:dyDescent="0.3">
      <c r="C60" s="53">
        <v>46228</v>
      </c>
      <c r="D60"/>
    </row>
    <row r="61" spans="3:4" x14ac:dyDescent="0.3">
      <c r="C61" s="53">
        <v>46229</v>
      </c>
      <c r="D61"/>
    </row>
    <row r="62" spans="3:4" x14ac:dyDescent="0.3">
      <c r="C62" s="53">
        <v>46230</v>
      </c>
      <c r="D62"/>
    </row>
    <row r="63" spans="3:4" x14ac:dyDescent="0.3">
      <c r="C63" s="53">
        <v>46231</v>
      </c>
      <c r="D63"/>
    </row>
    <row r="64" spans="3:4" x14ac:dyDescent="0.3">
      <c r="C64" s="53">
        <v>46232</v>
      </c>
      <c r="D64"/>
    </row>
    <row r="65" spans="3:25" x14ac:dyDescent="0.3">
      <c r="C65" s="53">
        <v>46233</v>
      </c>
      <c r="D65"/>
    </row>
    <row r="66" spans="3:25" s="135" customFormat="1" x14ac:dyDescent="0.3">
      <c r="C66" s="53">
        <v>46234</v>
      </c>
      <c r="D66"/>
      <c r="E66"/>
      <c r="G66"/>
      <c r="H66"/>
      <c r="I66"/>
      <c r="J66"/>
      <c r="K66"/>
      <c r="L66"/>
      <c r="M66"/>
      <c r="N66"/>
      <c r="O66"/>
      <c r="P66"/>
      <c r="Q66" s="31"/>
      <c r="R66"/>
      <c r="S66"/>
      <c r="T66"/>
      <c r="U66"/>
      <c r="V66"/>
      <c r="W66"/>
      <c r="X66"/>
      <c r="Y66"/>
    </row>
    <row r="67" spans="3:25" s="135" customFormat="1" x14ac:dyDescent="0.3">
      <c r="C67" s="31"/>
      <c r="D67">
        <f>SUM(D36:D66)</f>
        <v>141</v>
      </c>
      <c r="E67">
        <f>SUM(E36:E66)</f>
        <v>1391</v>
      </c>
      <c r="G67"/>
      <c r="H67"/>
      <c r="I67"/>
      <c r="J67"/>
      <c r="K67"/>
      <c r="L67"/>
      <c r="M67"/>
      <c r="N67"/>
      <c r="O67"/>
      <c r="P67"/>
      <c r="Q67" s="31"/>
      <c r="R67"/>
      <c r="S67"/>
      <c r="T67"/>
      <c r="U67"/>
      <c r="V67"/>
      <c r="W67"/>
      <c r="X67"/>
      <c r="Y67"/>
    </row>
  </sheetData>
  <mergeCells count="112">
    <mergeCell ref="V18:V19"/>
    <mergeCell ref="P18:P19"/>
    <mergeCell ref="Q18:Q19"/>
    <mergeCell ref="R18:R19"/>
    <mergeCell ref="S18:S19"/>
    <mergeCell ref="T18:T19"/>
    <mergeCell ref="U18:U19"/>
    <mergeCell ref="X3:X4"/>
    <mergeCell ref="X5:X6"/>
    <mergeCell ref="H18:H19"/>
    <mergeCell ref="I18:I19"/>
    <mergeCell ref="J18:J19"/>
    <mergeCell ref="K18:K19"/>
    <mergeCell ref="L18:L19"/>
    <mergeCell ref="M18:M19"/>
    <mergeCell ref="N18:N19"/>
    <mergeCell ref="O18:O19"/>
    <mergeCell ref="V5:V6"/>
    <mergeCell ref="R5:R6"/>
    <mergeCell ref="S5:S6"/>
    <mergeCell ref="T5:T6"/>
    <mergeCell ref="U5:U6"/>
    <mergeCell ref="W3:W4"/>
    <mergeCell ref="W5:W6"/>
    <mergeCell ref="T10:T11"/>
    <mergeCell ref="U10:U11"/>
    <mergeCell ref="V10:V11"/>
    <mergeCell ref="W10:W11"/>
    <mergeCell ref="X10:X11"/>
    <mergeCell ref="R3:R4"/>
    <mergeCell ref="S3:S4"/>
    <mergeCell ref="T3:T4"/>
    <mergeCell ref="U3:U4"/>
    <mergeCell ref="V3:V4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N3:N4"/>
    <mergeCell ref="O3:O4"/>
    <mergeCell ref="P3:P4"/>
    <mergeCell ref="Q3:Q4"/>
    <mergeCell ref="N5:N6"/>
    <mergeCell ref="O5:O6"/>
    <mergeCell ref="P5:P6"/>
    <mergeCell ref="Q5:Q6"/>
    <mergeCell ref="L3:L4"/>
    <mergeCell ref="M3:M4"/>
    <mergeCell ref="J5:J6"/>
    <mergeCell ref="K5:K6"/>
    <mergeCell ref="L5:L6"/>
    <mergeCell ref="M5:M6"/>
    <mergeCell ref="W14:W15"/>
    <mergeCell ref="X14:X15"/>
    <mergeCell ref="Y14:Y15"/>
    <mergeCell ref="C26:C28"/>
    <mergeCell ref="H3:H4"/>
    <mergeCell ref="I3:I4"/>
    <mergeCell ref="H5:H6"/>
    <mergeCell ref="I5:I6"/>
    <mergeCell ref="J3:J4"/>
    <mergeCell ref="K3:K4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C14:C15"/>
    <mergeCell ref="D14:D15"/>
    <mergeCell ref="E14:E15"/>
    <mergeCell ref="H14:H15"/>
    <mergeCell ref="I14:I15"/>
    <mergeCell ref="J14:J15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C3:C7"/>
    <mergeCell ref="E3:E4"/>
    <mergeCell ref="E5:E6"/>
    <mergeCell ref="C12:C13"/>
    <mergeCell ref="D12:D13"/>
    <mergeCell ref="E12:E13"/>
  </mergeCells>
  <conditionalFormatting sqref="Q16:Q18 Q14 Q12 Q8:Q10 Q20:Q29">
    <cfRule type="colorScale" priority="8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0">
    <cfRule type="colorScale" priority="9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V14 V3 V16:V18 V12 V5 V7:V10 V20:V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:V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10 X14 X16:X25 X12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6:X28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9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check al 05</vt:lpstr>
      <vt:lpstr>check al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Maccabelli</dc:creator>
  <cp:lastModifiedBy>Chiara Longaretti</cp:lastModifiedBy>
  <dcterms:created xsi:type="dcterms:W3CDTF">2026-05-27T14:26:55Z</dcterms:created>
  <dcterms:modified xsi:type="dcterms:W3CDTF">2026-07-13T12:07:34Z</dcterms:modified>
</cp:coreProperties>
</file>