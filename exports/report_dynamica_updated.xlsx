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sheets>
    <sheet name="Report Cliente" sheetId="1" state="visible" r:id="rId1"/>
    <sheet name="Dati" sheetId="2" state="hidden" r:id="rId2"/>
    <sheet name="Config" sheetId="3" state="hidden" r:id="rId3"/>
  </sheets>
  <definedNames>
    <definedName name="_xlnm.Print_Titles" localSheetId="0">'Report Cliente'!$4:$4</definedName>
    <definedName name="_xlnm.Print_Area" localSheetId="0">'Report Cliente'!$A$1:$W$23</definedName>
    <definedName name="_xlnm._FilterDatabase" localSheetId="1" hidden="1">'Dati'!$A$1:$AF$20</definedName>
  </definedNames>
</workbook>
</file>

<file path=xl/styles.xml><?xml version="1.0" encoding="utf-8"?>
<styleSheet xmlns="http://schemas.openxmlformats.org/spreadsheetml/2006/main">
  <numFmts count="7">
    <numFmt numFmtId="164" formatCode="dd/mm/yyyy"/>
    <numFmt numFmtId="165" formatCode="dd/mm/yyyy hh:mm"/>
    <numFmt numFmtId="166" formatCode="#,##0.00 [$€-it-IT]"/>
    <numFmt numFmtId="167" formatCode="0.0%"/>
    <numFmt numFmtId="168" formatCode="0.0"/>
    <numFmt numFmtId="169" formatCode="#,##0.00 &quot;€&quot;"/>
    <numFmt numFmtId="170" formatCode="yyyy-mm-dd"/>
  </numFmts>
  <fonts count="8">
    <font>
      <name val="Carlito"/>
      <sz val="11"/>
    </font>
    <font>
      <name val="Carlito"/>
      <b val="1"/>
      <color rgb="FFFFFFFF"/>
      <sz val="11"/>
    </font>
    <font>
      <name val="Carlito"/>
      <b val="1"/>
      <sz val="11"/>
    </font>
    <font>
      <name val="Carlito"/>
      <b val="1"/>
      <color rgb="FFFFFFFF"/>
      <sz val="16"/>
    </font>
    <font>
      <name val="Carlito"/>
      <i val="1"/>
      <color rgb="FF374151"/>
      <sz val="10"/>
    </font>
    <font>
      <name val="Carlito"/>
      <b val="1"/>
      <color rgb="FFFFFFFF"/>
      <sz val="10"/>
    </font>
    <font>
      <name val="Carlito"/>
      <b val="1"/>
      <color rgb="00FFFFFF"/>
      <sz val="11"/>
    </font>
    <font>
      <b val="1"/>
      <color rgb="00FFFFFF"/>
    </font>
  </fonts>
  <fills count="9">
    <fill>
      <patternFill/>
    </fill>
    <fill>
      <patternFill patternType="gray125"/>
    </fill>
    <fill>
      <patternFill patternType="solid">
        <fgColor rgb="FF000000"/>
      </patternFill>
    </fill>
    <fill>
      <patternFill patternType="solid">
        <fgColor rgb="FFF3F4F6"/>
      </patternFill>
    </fill>
    <fill>
      <patternFill patternType="solid">
        <fgColor rgb="FF0F172A"/>
      </patternFill>
    </fill>
    <fill>
      <patternFill patternType="solid">
        <fgColor rgb="FF111827"/>
      </patternFill>
    </fill>
    <fill>
      <patternFill patternType="solid">
        <fgColor rgb="FFE5E7EB"/>
      </patternFill>
    </fill>
    <fill>
      <patternFill patternType="solid">
        <fgColor rgb="00DCE6F1"/>
      </patternFill>
    </fill>
    <fill>
      <patternFill patternType="solid"/>
    </fill>
  </fills>
  <borders count="31">
    <border/>
    <border/>
    <border/>
    <border/>
    <border/>
    <border/>
    <border/>
    <border/>
    <border/>
    <border/>
    <border/>
    <border/>
    <border/>
    <border/>
    <border/>
    <border/>
    <border/>
    <border/>
    <border/>
    <border/>
    <border/>
    <border/>
    <border/>
    <border/>
    <border/>
    <border/>
    <border/>
    <border/>
    <border/>
    <border/>
    <border>
      <top style="medium">
        <color rgb="007F8C8D"/>
      </top>
    </border>
  </borders>
  <cellStyleXfs count="1">
    <xf numFmtId="0" fontId="0" fillId="0" borderId="29"/>
  </cellStyleXfs>
  <cellXfs count="140">
    <xf numFmtId="0" fontId="0" fillId="0" borderId="0" pivotButton="0" quotePrefix="0" xfId="0"/>
    <xf numFmtId="0" fontId="0" fillId="0" borderId="1" pivotButton="0" quotePrefix="0" xfId="0"/>
    <xf numFmtId="0" fontId="0" fillId="2" borderId="0" pivotButton="0" quotePrefix="0" xfId="0"/>
    <xf numFmtId="0" fontId="1" fillId="2" borderId="0" pivotButton="0" quotePrefix="0" xfId="0"/>
    <xf numFmtId="0" fontId="1" fillId="2" borderId="0" applyAlignment="1" pivotButton="0" quotePrefix="0" xfId="0">
      <alignment horizontal="center"/>
    </xf>
    <xf numFmtId="0" fontId="0" fillId="2" borderId="1" pivotButton="0" quotePrefix="0" xfId="0"/>
    <xf numFmtId="0" fontId="1" fillId="2" borderId="1" pivotButton="0" quotePrefix="0" xfId="0"/>
    <xf numFmtId="0" fontId="1" fillId="2" borderId="1" applyAlignment="1" pivotButton="0" quotePrefix="0" xfId="0">
      <alignment horizontal="center"/>
    </xf>
    <xf numFmtId="0" fontId="0" fillId="3" borderId="0" pivotButton="0" quotePrefix="0" xfId="0"/>
    <xf numFmtId="0" fontId="2" fillId="3" borderId="0" pivotButton="0" quotePrefix="0" xfId="0"/>
    <xf numFmtId="0" fontId="0" fillId="3" borderId="1" pivotButton="0" quotePrefix="0" xfId="0"/>
    <xf numFmtId="0" fontId="2" fillId="3" borderId="1" pivotButton="0" quotePrefix="0" xfId="0"/>
    <xf numFmtId="0" fontId="1" fillId="2" borderId="2" applyAlignment="1" pivotButton="0" quotePrefix="0" xfId="0">
      <alignment horizontal="center"/>
    </xf>
    <xf numFmtId="0" fontId="1" fillId="2" borderId="3" applyAlignment="1" pivotButton="0" quotePrefix="0" xfId="0">
      <alignment horizontal="center"/>
    </xf>
    <xf numFmtId="0" fontId="2" fillId="3" borderId="4" pivotButton="0" quotePrefix="0" xfId="0"/>
    <xf numFmtId="0" fontId="0" fillId="0" borderId="5" pivotButton="0" quotePrefix="0" xfId="0"/>
    <xf numFmtId="0" fontId="2" fillId="3" borderId="6" pivotButton="0" quotePrefix="0" xfId="0"/>
    <xf numFmtId="0" fontId="0" fillId="0" borderId="7" pivotButton="0" quotePrefix="0" xfId="0"/>
    <xf numFmtId="0" fontId="1" fillId="2" borderId="8" applyAlignment="1" pivotButton="0" quotePrefix="0" xfId="0">
      <alignment horizontal="center"/>
    </xf>
    <xf numFmtId="0" fontId="1" fillId="2" borderId="9" applyAlignment="1" pivotButton="0" quotePrefix="0" xfId="0">
      <alignment horizontal="center"/>
    </xf>
    <xf numFmtId="0" fontId="2" fillId="3" borderId="10" pivotButton="0" quotePrefix="0" xfId="0"/>
    <xf numFmtId="0" fontId="0" fillId="0" borderId="11" pivotButton="0" quotePrefix="0" xfId="0"/>
    <xf numFmtId="0" fontId="2" fillId="3" borderId="12" pivotButton="0" quotePrefix="0" xfId="0"/>
    <xf numFmtId="0" fontId="0" fillId="0" borderId="13" pivotButton="0" quotePrefix="0" xfId="0"/>
    <xf numFmtId="164" fontId="0" fillId="0" borderId="5" pivotButton="0" quotePrefix="0" xfId="0"/>
    <xf numFmtId="164" fontId="0" fillId="0" borderId="11" pivotButton="0" quotePrefix="0" xfId="0"/>
    <xf numFmtId="165" fontId="0" fillId="0" borderId="5" pivotButton="0" quotePrefix="0" xfId="0"/>
    <xf numFmtId="165" fontId="0" fillId="0" borderId="11" pivotButton="0" quotePrefix="0" xfId="0"/>
    <xf numFmtId="0" fontId="0" fillId="4" borderId="0" pivotButton="0" quotePrefix="0" xfId="0"/>
    <xf numFmtId="0" fontId="1" fillId="4" borderId="0" pivotButton="0" quotePrefix="0" xfId="0"/>
    <xf numFmtId="0" fontId="0" fillId="4" borderId="1" pivotButton="0" quotePrefix="0" xfId="0"/>
    <xf numFmtId="0" fontId="1" fillId="4" borderId="1" pivotButton="0" quotePrefix="0" xfId="0"/>
    <xf numFmtId="0" fontId="1" fillId="4" borderId="0" applyAlignment="1" pivotButton="0" quotePrefix="0" xfId="0">
      <alignment wrapText="1"/>
    </xf>
    <xf numFmtId="0" fontId="0" fillId="0" borderId="0" applyAlignment="1" pivotButton="0" quotePrefix="0" xfId="0">
      <alignment wrapText="1"/>
    </xf>
    <xf numFmtId="0" fontId="1" fillId="4" borderId="1" applyAlignment="1" pivotButton="0" quotePrefix="0" xfId="0">
      <alignment wrapText="1"/>
    </xf>
    <xf numFmtId="0" fontId="0" fillId="0" borderId="1" applyAlignment="1" pivotButton="0" quotePrefix="0" xfId="0">
      <alignment wrapText="1"/>
    </xf>
    <xf numFmtId="0" fontId="0" fillId="5" borderId="0" pivotButton="0" quotePrefix="0" xfId="0"/>
    <xf numFmtId="0" fontId="1" fillId="5" borderId="0" pivotButton="0" quotePrefix="0" xfId="0"/>
    <xf numFmtId="0" fontId="1" fillId="5" borderId="0" applyAlignment="1" pivotButton="0" quotePrefix="0" xfId="0">
      <alignment wrapText="1"/>
    </xf>
    <xf numFmtId="0" fontId="1" fillId="5" borderId="0" applyAlignment="1" pivotButton="0" quotePrefix="0" xfId="0">
      <alignment horizontal="center" wrapText="1"/>
    </xf>
    <xf numFmtId="0" fontId="1" fillId="5" borderId="0" applyAlignment="1" pivotButton="0" quotePrefix="0" xfId="0">
      <alignment horizontal="center" vertical="center" wrapText="1"/>
    </xf>
    <xf numFmtId="0" fontId="0" fillId="5" borderId="1" pivotButton="0" quotePrefix="0" xfId="0"/>
    <xf numFmtId="0" fontId="1" fillId="5" borderId="1" pivotButton="0" quotePrefix="0" xfId="0"/>
    <xf numFmtId="0" fontId="1" fillId="5" borderId="1" applyAlignment="1" pivotButton="0" quotePrefix="0" xfId="0">
      <alignment wrapText="1"/>
    </xf>
    <xf numFmtId="0" fontId="1" fillId="5" borderId="1" applyAlignment="1" pivotButton="0" quotePrefix="0" xfId="0">
      <alignment horizontal="center" wrapText="1"/>
    </xf>
    <xf numFmtId="0" fontId="1" fillId="5" borderId="1" applyAlignment="1" pivotButton="0" quotePrefix="0" xfId="0">
      <alignment horizontal="center" vertical="center" wrapText="1"/>
    </xf>
    <xf numFmtId="0" fontId="3" fillId="2" borderId="0" pivotButton="0" quotePrefix="0" xfId="0"/>
    <xf numFmtId="0" fontId="3" fillId="2" borderId="0" applyAlignment="1" pivotButton="0" quotePrefix="0" xfId="0">
      <alignment horizontal="center"/>
    </xf>
    <xf numFmtId="0" fontId="3" fillId="2" borderId="0" applyAlignment="1" pivotButton="0" quotePrefix="0" xfId="0">
      <alignment horizontal="center" vertical="center"/>
    </xf>
    <xf numFmtId="0" fontId="3" fillId="2" borderId="1" pivotButton="0" quotePrefix="0" xfId="0"/>
    <xf numFmtId="0" fontId="3" fillId="2" borderId="1" applyAlignment="1" pivotButton="0" quotePrefix="0" xfId="0">
      <alignment horizontal="center"/>
    </xf>
    <xf numFmtId="0" fontId="3" fillId="2" borderId="1" applyAlignment="1" pivotButton="0" quotePrefix="0" xfId="0">
      <alignment horizontal="center" vertical="center"/>
    </xf>
    <xf numFmtId="0" fontId="0" fillId="6" borderId="0" pivotButton="0" quotePrefix="0" xfId="0"/>
    <xf numFmtId="0" fontId="4" fillId="6" borderId="0" pivotButton="0" quotePrefix="0" xfId="0"/>
    <xf numFmtId="0" fontId="4" fillId="6" borderId="0" applyAlignment="1" pivotButton="0" quotePrefix="0" xfId="0">
      <alignment horizontal="center"/>
    </xf>
    <xf numFmtId="0" fontId="4" fillId="6" borderId="0" applyAlignment="1" pivotButton="0" quotePrefix="0" xfId="0">
      <alignment horizontal="center" vertical="center"/>
    </xf>
    <xf numFmtId="0" fontId="0" fillId="6" borderId="1" pivotButton="0" quotePrefix="0" xfId="0"/>
    <xf numFmtId="0" fontId="4" fillId="6" borderId="1" pivotButton="0" quotePrefix="0" xfId="0"/>
    <xf numFmtId="0" fontId="4" fillId="6" borderId="1" applyAlignment="1" pivotButton="0" quotePrefix="0" xfId="0">
      <alignment horizontal="center"/>
    </xf>
    <xf numFmtId="0" fontId="4" fillId="6" borderId="1" applyAlignment="1" pivotButton="0" quotePrefix="0" xfId="0">
      <alignment horizontal="center" vertical="center"/>
    </xf>
    <xf numFmtId="0" fontId="5" fillId="2" borderId="0" pivotButton="0" quotePrefix="0" xfId="0"/>
    <xf numFmtId="0" fontId="5" fillId="2" borderId="0" applyAlignment="1" pivotButton="0" quotePrefix="0" xfId="0">
      <alignment wrapText="1"/>
    </xf>
    <xf numFmtId="0" fontId="5" fillId="2" borderId="0" applyAlignment="1" pivotButton="0" quotePrefix="0" xfId="0">
      <alignment horizontal="center" wrapText="1"/>
    </xf>
    <xf numFmtId="0" fontId="5" fillId="2" borderId="0" applyAlignment="1" pivotButton="0" quotePrefix="0" xfId="0">
      <alignment horizontal="center" vertical="center" wrapText="1"/>
    </xf>
    <xf numFmtId="0" fontId="5" fillId="2" borderId="1" pivotButton="0" quotePrefix="0" xfId="0"/>
    <xf numFmtId="0" fontId="5" fillId="2" borderId="1" applyAlignment="1" pivotButton="0" quotePrefix="0" xfId="0">
      <alignment wrapText="1"/>
    </xf>
    <xf numFmtId="0" fontId="5" fillId="2" borderId="1" applyAlignment="1" pivotButton="0" quotePrefix="0" xfId="0">
      <alignment horizontal="center" wrapText="1"/>
    </xf>
    <xf numFmtId="0" fontId="5" fillId="2" borderId="1" applyAlignment="1" pivotButton="0" quotePrefix="0" xfId="0">
      <alignment horizontal="center" vertical="center" wrapText="1"/>
    </xf>
    <xf numFmtId="0" fontId="1" fillId="2" borderId="0" applyAlignment="1" pivotButton="0" quotePrefix="0" xfId="0">
      <alignment vertical="center"/>
    </xf>
    <xf numFmtId="0" fontId="1" fillId="2" borderId="1" applyAlignment="1" pivotButton="0" quotePrefix="0" xfId="0">
      <alignment vertical="center"/>
    </xf>
    <xf numFmtId="0" fontId="5" fillId="2" borderId="14" applyAlignment="1" pivotButton="0" quotePrefix="0" xfId="0">
      <alignment horizontal="center" vertical="center" wrapText="1"/>
    </xf>
    <xf numFmtId="0" fontId="5" fillId="2" borderId="15" applyAlignment="1" pivotButton="0" quotePrefix="0" xfId="0">
      <alignment horizontal="center" vertical="center" wrapText="1"/>
    </xf>
    <xf numFmtId="0" fontId="5" fillId="2" borderId="16" applyAlignment="1" pivotButton="0" quotePrefix="0" xfId="0">
      <alignment horizontal="center" vertical="center" wrapText="1"/>
    </xf>
    <xf numFmtId="0" fontId="0" fillId="0" borderId="17" pivotButton="0" quotePrefix="0" xfId="0"/>
    <xf numFmtId="0" fontId="0" fillId="0" borderId="0" pivotButton="0" quotePrefix="0" xfId="0"/>
    <xf numFmtId="0" fontId="0" fillId="0" borderId="18" pivotButton="0" quotePrefix="0" xfId="0"/>
    <xf numFmtId="0" fontId="1" fillId="2" borderId="19" applyAlignment="1" pivotButton="0" quotePrefix="0" xfId="0">
      <alignment vertical="center"/>
    </xf>
    <xf numFmtId="0" fontId="1" fillId="2" borderId="20" applyAlignment="1" pivotButton="0" quotePrefix="0" xfId="0">
      <alignment vertical="center"/>
    </xf>
    <xf numFmtId="0" fontId="1" fillId="2" borderId="21" applyAlignment="1" pivotButton="0" quotePrefix="0" xfId="0">
      <alignment vertical="center"/>
    </xf>
    <xf numFmtId="0" fontId="5" fillId="2" borderId="22" applyAlignment="1" pivotButton="0" quotePrefix="0" xfId="0">
      <alignment horizontal="center" vertical="center" wrapText="1"/>
    </xf>
    <xf numFmtId="0" fontId="5" fillId="2" borderId="23" applyAlignment="1" pivotButton="0" quotePrefix="0" xfId="0">
      <alignment horizontal="center" vertical="center" wrapText="1"/>
    </xf>
    <xf numFmtId="0" fontId="5" fillId="2" borderId="24" applyAlignment="1" pivotButton="0" quotePrefix="0" xfId="0">
      <alignment horizontal="center" vertical="center" wrapText="1"/>
    </xf>
    <xf numFmtId="0" fontId="0" fillId="0" borderId="25" pivotButton="0" quotePrefix="0" xfId="0"/>
    <xf numFmtId="0" fontId="0" fillId="0" borderId="26" pivotButton="0" quotePrefix="0" xfId="0"/>
    <xf numFmtId="0" fontId="1" fillId="2" borderId="27" applyAlignment="1" pivotButton="0" quotePrefix="0" xfId="0">
      <alignment vertical="center"/>
    </xf>
    <xf numFmtId="0" fontId="1" fillId="2" borderId="28" applyAlignment="1" pivotButton="0" quotePrefix="0" xfId="0">
      <alignment vertical="center"/>
    </xf>
    <xf numFmtId="0" fontId="1" fillId="2" borderId="29" applyAlignment="1" pivotButton="0" quotePrefix="0" xfId="0">
      <alignment vertical="center"/>
    </xf>
    <xf numFmtId="0" fontId="0" fillId="0" borderId="17" applyAlignment="1" pivotButton="0" quotePrefix="0" xfId="0">
      <alignment vertical="center"/>
    </xf>
    <xf numFmtId="0" fontId="0" fillId="0" borderId="0" applyAlignment="1" pivotButton="0" quotePrefix="0" xfId="0">
      <alignment vertical="center"/>
    </xf>
    <xf numFmtId="0" fontId="0" fillId="0" borderId="18" applyAlignment="1" pivotButton="0" quotePrefix="0" xfId="0">
      <alignment vertical="center"/>
    </xf>
    <xf numFmtId="0" fontId="0" fillId="0" borderId="25" applyAlignment="1" pivotButton="0" quotePrefix="0" xfId="0">
      <alignment vertical="center"/>
    </xf>
    <xf numFmtId="0" fontId="0" fillId="0" borderId="1" applyAlignment="1" pivotButton="0" quotePrefix="0" xfId="0">
      <alignment vertical="center"/>
    </xf>
    <xf numFmtId="0" fontId="0" fillId="0" borderId="26" applyAlignment="1" pivotButton="0" quotePrefix="0" xfId="0">
      <alignment vertical="center"/>
    </xf>
    <xf numFmtId="0" fontId="0" fillId="0" borderId="17" applyAlignment="1" pivotButton="0" quotePrefix="0" xfId="0">
      <alignment vertical="center" wrapText="1"/>
    </xf>
    <xf numFmtId="0" fontId="0" fillId="0" borderId="0" applyAlignment="1" pivotButton="0" quotePrefix="0" xfId="0">
      <alignment vertical="center" wrapText="1"/>
    </xf>
    <xf numFmtId="0" fontId="0" fillId="0" borderId="18" applyAlignment="1" pivotButton="0" quotePrefix="0" xfId="0">
      <alignment vertical="center" wrapText="1"/>
    </xf>
    <xf numFmtId="0" fontId="0" fillId="0" borderId="25" applyAlignment="1" pivotButton="0" quotePrefix="0" xfId="0">
      <alignment vertical="center" wrapText="1"/>
    </xf>
    <xf numFmtId="0" fontId="0" fillId="0" borderId="1" applyAlignment="1" pivotButton="0" quotePrefix="0" xfId="0">
      <alignment vertical="center" wrapText="1"/>
    </xf>
    <xf numFmtId="0" fontId="0" fillId="0" borderId="26" applyAlignment="1" pivotButton="0" quotePrefix="0" xfId="0">
      <alignment vertical="center" wrapText="1"/>
    </xf>
    <xf numFmtId="166" fontId="0" fillId="0" borderId="0" applyAlignment="1" pivotButton="0" quotePrefix="0" xfId="0">
      <alignment vertical="center" wrapText="1"/>
    </xf>
    <xf numFmtId="166" fontId="1" fillId="2" borderId="20" applyAlignment="1" pivotButton="0" quotePrefix="0" xfId="0">
      <alignment vertical="center"/>
    </xf>
    <xf numFmtId="166" fontId="0" fillId="0" borderId="1" applyAlignment="1" pivotButton="0" quotePrefix="0" xfId="0">
      <alignment vertical="center" wrapText="1"/>
    </xf>
    <xf numFmtId="166" fontId="1" fillId="2" borderId="28" applyAlignment="1" pivotButton="0" quotePrefix="0" xfId="0">
      <alignment vertical="center"/>
    </xf>
    <xf numFmtId="167" fontId="0" fillId="0" borderId="0" applyAlignment="1" pivotButton="0" quotePrefix="0" xfId="0">
      <alignment vertical="center" wrapText="1"/>
    </xf>
    <xf numFmtId="167" fontId="1" fillId="2" borderId="20" applyAlignment="1" pivotButton="0" quotePrefix="0" xfId="0">
      <alignment vertical="center"/>
    </xf>
    <xf numFmtId="167" fontId="0" fillId="0" borderId="1" applyAlignment="1" pivotButton="0" quotePrefix="0" xfId="0">
      <alignment vertical="center" wrapText="1"/>
    </xf>
    <xf numFmtId="167" fontId="1" fillId="2" borderId="28" applyAlignment="1" pivotButton="0" quotePrefix="0" xfId="0">
      <alignment vertical="center"/>
    </xf>
    <xf numFmtId="168" fontId="0" fillId="0" borderId="0" applyAlignment="1" pivotButton="0" quotePrefix="0" xfId="0">
      <alignment vertical="center" wrapText="1"/>
    </xf>
    <xf numFmtId="168" fontId="1" fillId="2" borderId="20" applyAlignment="1" pivotButton="0" quotePrefix="0" xfId="0">
      <alignment vertical="center"/>
    </xf>
    <xf numFmtId="168" fontId="0" fillId="0" borderId="1" applyAlignment="1" pivotButton="0" quotePrefix="0" xfId="0">
      <alignment vertical="center" wrapText="1"/>
    </xf>
    <xf numFmtId="168" fontId="1" fillId="2" borderId="28" applyAlignment="1" pivotButton="0" quotePrefix="0" xfId="0">
      <alignment vertical="center"/>
    </xf>
    <xf numFmtId="49" fontId="0" fillId="0" borderId="0" applyAlignment="1" pivotButton="0" quotePrefix="0" xfId="0">
      <alignment vertical="center" wrapText="1"/>
    </xf>
    <xf numFmtId="0" fontId="3" fillId="2" borderId="29" applyAlignment="1" pivotButton="0" quotePrefix="0" xfId="0">
      <alignment horizontal="center" vertical="center"/>
    </xf>
    <xf numFmtId="0" fontId="0" fillId="0" borderId="29" pivotButton="0" quotePrefix="0" xfId="0"/>
    <xf numFmtId="0" fontId="4" fillId="6" borderId="29" applyAlignment="1" pivotButton="0" quotePrefix="0" xfId="0">
      <alignment horizontal="center" vertical="center"/>
    </xf>
    <xf numFmtId="49" fontId="0" fillId="0" borderId="0" applyAlignment="1" pivotButton="0" quotePrefix="0" xfId="0">
      <alignment vertical="center" wrapText="1"/>
    </xf>
    <xf numFmtId="0" fontId="0" fillId="0" borderId="0" applyAlignment="1" pivotButton="0" quotePrefix="0" xfId="0">
      <alignment vertical="top" wrapText="1"/>
    </xf>
    <xf numFmtId="169" fontId="0" fillId="0" borderId="0" applyAlignment="1" pivotButton="0" quotePrefix="0" xfId="0">
      <alignment vertical="center" wrapText="1"/>
    </xf>
    <xf numFmtId="167" fontId="0" fillId="0" borderId="0" applyAlignment="1" pivotButton="0" quotePrefix="0" xfId="0">
      <alignment vertical="center" wrapText="1"/>
    </xf>
    <xf numFmtId="168" fontId="0" fillId="0" borderId="0" applyAlignment="1" pivotButton="0" quotePrefix="0" xfId="0">
      <alignment vertical="center" wrapText="1"/>
    </xf>
    <xf numFmtId="0" fontId="0" fillId="0" borderId="18" applyAlignment="1" pivotButton="0" quotePrefix="0" xfId="0">
      <alignment vertical="top" wrapText="1"/>
    </xf>
    <xf numFmtId="0" fontId="2" fillId="7" borderId="30" applyAlignment="1" pivotButton="0" quotePrefix="0" xfId="0">
      <alignment vertical="center" wrapText="1"/>
    </xf>
    <xf numFmtId="0" fontId="2" fillId="7" borderId="30" pivotButton="0" quotePrefix="0" xfId="0"/>
    <xf numFmtId="169" fontId="2" fillId="7" borderId="30" applyAlignment="1" pivotButton="0" quotePrefix="0" xfId="0">
      <alignment vertical="center" wrapText="1"/>
    </xf>
    <xf numFmtId="167" fontId="2" fillId="7" borderId="30" applyAlignment="1" pivotButton="0" quotePrefix="0" xfId="0">
      <alignment vertical="center" wrapText="1"/>
    </xf>
    <xf numFmtId="168" fontId="2" fillId="7" borderId="30" applyAlignment="1" pivotButton="0" quotePrefix="0" xfId="0">
      <alignment vertical="center" wrapText="1"/>
    </xf>
    <xf numFmtId="0" fontId="2" fillId="7" borderId="30" applyAlignment="1" pivotButton="0" quotePrefix="0" xfId="0">
      <alignment vertical="top" wrapText="1"/>
    </xf>
    <xf numFmtId="0" fontId="6" fillId="8" borderId="29" applyAlignment="1" pivotButton="0" quotePrefix="0" xfId="0">
      <alignment vertical="center"/>
    </xf>
    <xf numFmtId="0" fontId="6" fillId="8" borderId="29" pivotButton="0" quotePrefix="0" xfId="0"/>
    <xf numFmtId="169" fontId="6" fillId="8" borderId="20" applyAlignment="1" pivotButton="0" quotePrefix="0" xfId="0">
      <alignment vertical="center"/>
    </xf>
    <xf numFmtId="167" fontId="6" fillId="8" borderId="20" applyAlignment="1" pivotButton="0" quotePrefix="0" xfId="0">
      <alignment vertical="center"/>
    </xf>
    <xf numFmtId="168" fontId="6" fillId="8" borderId="20" applyAlignment="1" pivotButton="0" quotePrefix="0" xfId="0">
      <alignment vertical="center"/>
    </xf>
    <xf numFmtId="0" fontId="6" fillId="8" borderId="21" applyAlignment="1" pivotButton="0" quotePrefix="0" xfId="0">
      <alignment vertical="top" wrapText="1"/>
    </xf>
    <xf numFmtId="0" fontId="7" fillId="8" borderId="0" applyAlignment="1" pivotButton="0" quotePrefix="0" xfId="0">
      <alignment horizontal="center" vertical="center" wrapText="1"/>
    </xf>
    <xf numFmtId="164" fontId="0" fillId="0" borderId="0" pivotButton="0" quotePrefix="0" xfId="0"/>
    <xf numFmtId="169" fontId="0" fillId="0" borderId="0" pivotButton="0" quotePrefix="0" xfId="0"/>
    <xf numFmtId="167" fontId="0" fillId="0" borderId="0" pivotButton="0" quotePrefix="0" xfId="0"/>
    <xf numFmtId="49" fontId="0" fillId="0" borderId="0" pivotButton="0" quotePrefix="0" xfId="0"/>
    <xf numFmtId="164" fontId="0" fillId="0" borderId="5" pivotButton="0" quotePrefix="0" xfId="0"/>
    <xf numFmtId="165" fontId="0" fillId="0" borderId="5" pivotButton="0" quotePrefix="0" xfId="0"/>
  </cellXfs>
  <cellStyles count="1">
    <cellStyle name="Normal" xfId="0"/>
  </cellStyles>
  <dxfs count="12">
    <dxf>
      <font>
        <color rgb="FF052E16"/>
      </font>
      <fill>
        <patternFill>
          <bgColor rgb="FF22C55E"/>
        </patternFill>
      </fill>
    </dxf>
    <dxf>
      <font>
        <color rgb="FFFFFFFF"/>
      </font>
      <fill>
        <patternFill>
          <bgColor rgb="FFEF4444"/>
        </patternFill>
      </fill>
    </dxf>
    <dxf>
      <font>
        <color rgb="FF052E16"/>
      </font>
      <fill>
        <patternFill>
          <bgColor rgb="FF22C55E"/>
        </patternFill>
      </fill>
    </dxf>
    <dxf>
      <font>
        <color rgb="FF7C2D12"/>
      </font>
      <fill>
        <patternFill>
          <bgColor rgb="FFFB923C"/>
        </patternFill>
      </fill>
    </dxf>
    <dxf>
      <font>
        <color rgb="FFDC2626"/>
      </font>
    </dxf>
    <dxf>
      <font>
        <color rgb="FF7F1D1D"/>
      </font>
      <fill>
        <patternFill patternType="solid">
          <bgColor rgb="FFF87171"/>
        </patternFill>
      </fill>
    </dxf>
    <dxf>
      <font>
        <color rgb="FF78350F"/>
      </font>
      <fill>
        <patternFill patternType="solid">
          <bgColor rgb="FFFDE68A"/>
        </patternFill>
      </fill>
    </dxf>
    <dxf>
      <font>
        <color rgb="FF365314"/>
      </font>
      <fill>
        <patternFill patternType="solid">
          <bgColor rgb="FFD9F99D"/>
        </patternFill>
      </fill>
    </dxf>
    <dxf>
      <font>
        <color rgb="FF14532D"/>
      </font>
      <fill>
        <patternFill patternType="solid">
          <bgColor rgb="FF86EFAC"/>
        </patternFill>
      </fill>
    </dxf>
    <dxf>
      <font>
        <color rgb="00006100"/>
      </font>
      <fill>
        <patternFill patternType="solid">
          <fgColor rgb="00C6EFCE"/>
        </patternFill>
      </fill>
    </dxf>
    <dxf>
      <font>
        <color rgb="009C0006"/>
      </font>
      <fill>
        <patternFill patternType="solid">
          <fgColor rgb="00FFC7CE"/>
        </patternFill>
      </fill>
    </dxf>
    <dxf>
      <font>
        <color rgb="009C6500"/>
      </font>
      <fill>
        <patternFill patternType="solid">
          <fgColor rgb="00FFEB9C"/>
        </patternFill>
      </fill>
    </dxf>
  </dxf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solidFill>
          <a:schemeClr val="dk1"/>
        </a:solidFill>
        <a:solidFill>
          <a:schemeClr val="accent1"/>
        </a:soli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W23"/>
  <sheetViews>
    <sheetView showGridLines="0" workbookViewId="0">
      <pane xSplit="5" ySplit="4" topLeftCell="F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6" customWidth="1" style="74" min="1" max="1"/>
    <col width="12" customWidth="1" style="74" min="2" max="2"/>
    <col width="12" customWidth="1" style="74" min="3" max="3"/>
    <col width="16" customWidth="1" style="74" min="4" max="4"/>
    <col width="38" customWidth="1" style="74" min="5" max="5"/>
    <col width="16" customWidth="1" style="74" min="6" max="6"/>
    <col width="8" customWidth="1" style="74" min="7" max="7"/>
    <col width="13" customWidth="1" style="74" min="8" max="8"/>
    <col width="13" customWidth="1" style="74" min="9" max="9"/>
    <col width="13" customWidth="1" style="74" min="10" max="10"/>
    <col width="13" customWidth="1" style="74" min="11" max="11"/>
    <col width="15" customWidth="1" style="74" min="12" max="12"/>
    <col width="17" customWidth="1" style="74" min="13" max="13"/>
    <col width="13" customWidth="1" style="74" min="14" max="14"/>
    <col width="12" customWidth="1" style="74" min="15" max="15"/>
    <col width="17" customWidth="1" style="74" min="16" max="16"/>
    <col width="18" customWidth="1" style="74" min="17" max="17"/>
    <col width="15" customWidth="1" style="74" min="18" max="18"/>
    <col width="13" customWidth="1" style="74" min="19" max="19"/>
    <col width="13" customWidth="1" style="74" min="20" max="20"/>
    <col width="13" customWidth="1" style="74" min="21" max="21"/>
    <col width="12" customWidth="1" style="74" min="22" max="22"/>
    <col width="38" customWidth="1" style="74" min="23" max="23"/>
  </cols>
  <sheetData>
    <row r="1" ht="32" customHeight="1" s="74">
      <c r="A1" s="112" t="inlineStr">
        <is>
          <t>REPORT PERFORMANCE — DYNAMICA RETAIL</t>
        </is>
      </c>
      <c r="B1" s="113" t="n"/>
      <c r="C1" s="113" t="n"/>
      <c r="D1" s="113" t="n"/>
      <c r="E1" s="113" t="n"/>
      <c r="F1" s="113" t="n"/>
      <c r="G1" s="113" t="n"/>
      <c r="H1" s="113" t="n"/>
      <c r="I1" s="113" t="n"/>
      <c r="J1" s="113" t="n"/>
      <c r="K1" s="113" t="n"/>
      <c r="L1" s="113" t="n"/>
      <c r="M1" s="113" t="n"/>
      <c r="N1" s="113" t="n"/>
      <c r="O1" s="113" t="n"/>
      <c r="P1" s="113" t="n"/>
      <c r="Q1" s="113" t="n"/>
      <c r="R1" s="113" t="n"/>
      <c r="S1" s="113" t="n"/>
      <c r="T1" s="113" t="n"/>
      <c r="U1" s="113" t="n"/>
      <c r="V1" s="113" t="n"/>
      <c r="W1" s="113" t="n"/>
    </row>
    <row r="2" ht="22" customHeight="1" s="74">
      <c r="A2" s="114" t="inlineStr">
        <is>
          <t>Periodo: 01/08/2026 - 20/08/2026  |  Ultimo aggiornamento: 21/08/2026 07:00</t>
        </is>
      </c>
      <c r="B2" s="113" t="n"/>
      <c r="C2" s="113" t="n"/>
      <c r="D2" s="113" t="n"/>
      <c r="E2" s="113" t="n"/>
      <c r="F2" s="113" t="n"/>
      <c r="G2" s="113" t="n"/>
      <c r="H2" s="113" t="n"/>
      <c r="I2" s="113" t="n"/>
      <c r="J2" s="113" t="n"/>
      <c r="K2" s="113" t="n"/>
      <c r="L2" s="113" t="n"/>
      <c r="M2" s="113" t="n"/>
      <c r="N2" s="113" t="n"/>
      <c r="O2" s="113" t="n"/>
      <c r="P2" s="113" t="n"/>
      <c r="Q2" s="113" t="n"/>
      <c r="R2" s="113" t="n"/>
      <c r="S2" s="113" t="n"/>
      <c r="T2" s="113" t="n"/>
      <c r="U2" s="113" t="n"/>
      <c r="V2" s="113" t="n"/>
      <c r="W2" s="113" t="n"/>
    </row>
    <row r="4" ht="42" customHeight="1" s="74">
      <c r="A4" s="70" t="inlineStr">
        <is>
          <t>Funnel</t>
        </is>
      </c>
      <c r="B4" s="71" t="inlineStr">
        <is>
          <t>Piattaforma</t>
        </is>
      </c>
      <c r="C4" s="71" t="inlineStr">
        <is>
          <t>Canale</t>
        </is>
      </c>
      <c r="D4" s="71" t="inlineStr">
        <is>
          <t>ID Campagna</t>
        </is>
      </c>
      <c r="E4" s="71" t="inlineStr">
        <is>
          <t>Campagna</t>
        </is>
      </c>
      <c r="F4" s="71" t="inlineStr">
        <is>
          <t>Investimento Media</t>
        </is>
      </c>
      <c r="G4" s="71" t="inlineStr">
        <is>
          <t>%</t>
        </is>
      </c>
      <c r="H4" s="71" t="inlineStr">
        <is>
          <t>CPP medio</t>
        </is>
      </c>
      <c r="I4" s="71" t="inlineStr">
        <is>
          <t>Stima Pratiche</t>
        </is>
      </c>
      <c r="J4" s="71" t="inlineStr">
        <is>
          <t>CPL target</t>
        </is>
      </c>
      <c r="K4" s="71" t="inlineStr">
        <is>
          <t>Stima Lead</t>
        </is>
      </c>
      <c r="L4" s="71" t="inlineStr">
        <is>
          <t>Stima lead giornaliera</t>
        </is>
      </c>
      <c r="M4" s="71" t="inlineStr">
        <is>
          <t>Stima lead progressiva</t>
        </is>
      </c>
      <c r="N4" s="71" t="inlineStr">
        <is>
          <t>Lead effettive</t>
        </is>
      </c>
      <c r="O4" s="71" t="inlineStr">
        <is>
          <t>Delta lead</t>
        </is>
      </c>
      <c r="P4" s="71" t="inlineStr">
        <is>
          <t>Stima spending giornaliera</t>
        </is>
      </c>
      <c r="Q4" s="71" t="inlineStr">
        <is>
          <t>Stima spending progressiva</t>
        </is>
      </c>
      <c r="R4" s="71" t="inlineStr">
        <is>
          <t>Speso effettivo</t>
        </is>
      </c>
      <c r="S4" s="71" t="inlineStr">
        <is>
          <t>Delta speso</t>
        </is>
      </c>
      <c r="T4" s="71" t="inlineStr">
        <is>
          <t>% Delta delivery</t>
        </is>
      </c>
      <c r="U4" s="71" t="inlineStr">
        <is>
          <t>CPL effettivo</t>
        </is>
      </c>
      <c r="V4" s="71" t="inlineStr">
        <is>
          <t>Delta CPL</t>
        </is>
      </c>
      <c r="W4" s="72" t="inlineStr">
        <is>
          <t>Action</t>
        </is>
      </c>
    </row>
    <row r="5" ht="36" customHeight="1" s="74">
      <c r="A5" s="93" t="inlineStr">
        <is>
          <t>Area Clienti</t>
        </is>
      </c>
      <c r="B5" s="94" t="inlineStr">
        <is>
          <t>Google</t>
        </is>
      </c>
      <c r="C5" s="94" t="inlineStr">
        <is>
          <t>Search</t>
        </is>
      </c>
      <c r="D5" s="115" t="inlineStr">
        <is>
          <t>23993507424</t>
        </is>
      </c>
      <c r="E5" s="116" t="inlineStr">
        <is>
          <t>DYN_AREACL CQ e CQP | Calcola Preventivo - QUINTO DIGITALE</t>
        </is>
      </c>
      <c r="F5" s="117" t="n">
        <v>8000</v>
      </c>
      <c r="G5" s="118" t="n">
        <v>0.1860465116279069</v>
      </c>
      <c r="H5" s="117" t="n"/>
      <c r="I5" s="119" t="n"/>
      <c r="J5" s="117" t="n"/>
      <c r="K5" s="119" t="n"/>
      <c r="L5" s="119" t="n"/>
      <c r="M5" s="119" t="n"/>
      <c r="N5" s="119" t="n"/>
      <c r="O5" s="119" t="n"/>
      <c r="P5" s="117" t="n">
        <v>258.0645161290323</v>
      </c>
      <c r="Q5" s="117" t="n">
        <v>5161.290322580645</v>
      </c>
      <c r="R5" s="117" t="n">
        <v>5225.023895</v>
      </c>
      <c r="S5" s="117" t="n">
        <v>63.73357241935537</v>
      </c>
      <c r="T5" s="118" t="n">
        <v>0.0123483796562501</v>
      </c>
      <c r="U5" s="117" t="n"/>
      <c r="V5" s="117" t="n"/>
      <c r="W5" s="120" t="inlineStr"/>
    </row>
    <row r="6" ht="36" customHeight="1" s="74">
      <c r="A6" s="93" t="inlineStr">
        <is>
          <t>Area Clienti</t>
        </is>
      </c>
      <c r="B6" s="94" t="inlineStr">
        <is>
          <t>Google</t>
        </is>
      </c>
      <c r="C6" s="94" t="inlineStr">
        <is>
          <t>Search</t>
        </is>
      </c>
      <c r="D6" s="115" t="inlineStr">
        <is>
          <t>23998450448</t>
        </is>
      </c>
      <c r="E6" s="116" t="inlineStr">
        <is>
          <t>DYN_AREACL Delega di Pagamento - QUINTO DIGITALE</t>
        </is>
      </c>
      <c r="F6" s="117" t="n">
        <v>1000</v>
      </c>
      <c r="G6" s="118" t="n">
        <v>0.0232558139534883</v>
      </c>
      <c r="H6" s="117" t="n"/>
      <c r="I6" s="119" t="n"/>
      <c r="J6" s="117" t="n"/>
      <c r="K6" s="119" t="n"/>
      <c r="L6" s="119" t="n"/>
      <c r="M6" s="119" t="n"/>
      <c r="N6" s="119" t="n"/>
      <c r="O6" s="119" t="n"/>
      <c r="P6" s="117" t="n">
        <v>32.25806451612903</v>
      </c>
      <c r="Q6" s="117" t="n">
        <v>645.1612903225806</v>
      </c>
      <c r="R6" s="117" t="n">
        <v>632.346542</v>
      </c>
      <c r="S6" s="117" t="n">
        <v>-12.81474832258061</v>
      </c>
      <c r="T6" s="118" t="n">
        <v>-0.0198628598999999</v>
      </c>
      <c r="U6" s="117" t="n"/>
      <c r="V6" s="117" t="n"/>
      <c r="W6" s="120" t="inlineStr"/>
    </row>
    <row r="7" ht="21" customHeight="1" s="74">
      <c r="A7" s="93" t="inlineStr">
        <is>
          <t>Area Clienti</t>
        </is>
      </c>
      <c r="B7" s="94" t="inlineStr">
        <is>
          <t>Meta</t>
        </is>
      </c>
      <c r="C7" s="94" t="inlineStr">
        <is>
          <t>Display</t>
        </is>
      </c>
      <c r="D7" s="115" t="inlineStr">
        <is>
          <t>6905931065575</t>
        </is>
      </c>
      <c r="E7" s="116" t="inlineStr">
        <is>
          <t>DYN_AREACL 2.0 - PURCHASE</t>
        </is>
      </c>
      <c r="F7" s="117" t="n">
        <v>9500</v>
      </c>
      <c r="G7" s="118" t="n">
        <v>0.2209302325581395</v>
      </c>
      <c r="H7" s="117" t="n"/>
      <c r="I7" s="119" t="n"/>
      <c r="J7" s="117" t="n"/>
      <c r="K7" s="119" t="n"/>
      <c r="L7" s="119" t="n"/>
      <c r="M7" s="119" t="n"/>
      <c r="N7" s="119" t="n"/>
      <c r="O7" s="119" t="n"/>
      <c r="P7" s="117" t="n">
        <v>306.4516129032258</v>
      </c>
      <c r="Q7" s="117" t="n">
        <v>6129.032258064516</v>
      </c>
      <c r="R7" s="117" t="n">
        <v>5644.82</v>
      </c>
      <c r="S7" s="117" t="n">
        <v>-484.2122580645164</v>
      </c>
      <c r="T7" s="118" t="n">
        <v>-0.0790030526315789</v>
      </c>
      <c r="U7" s="117" t="n"/>
      <c r="V7" s="117" t="n"/>
      <c r="W7" s="120" t="inlineStr"/>
    </row>
    <row r="8" ht="21" customHeight="1" s="74">
      <c r="A8" s="121" t="inlineStr">
        <is>
          <t>TOT Area Clienti</t>
        </is>
      </c>
      <c r="B8" s="122" t="n"/>
      <c r="C8" s="122" t="n"/>
      <c r="D8" s="122" t="n"/>
      <c r="E8" s="122" t="n"/>
      <c r="F8" s="123" t="n">
        <v>18500</v>
      </c>
      <c r="G8" s="124" t="n">
        <v>0.4302325581395348</v>
      </c>
      <c r="H8" s="123" t="n">
        <v>418</v>
      </c>
      <c r="I8" s="125" t="n">
        <v>44</v>
      </c>
      <c r="J8" s="123" t="n">
        <v>43</v>
      </c>
      <c r="K8" s="125" t="n">
        <v>430.2325581395349</v>
      </c>
      <c r="L8" s="125" t="n">
        <v>13.87846961740435</v>
      </c>
      <c r="M8" s="125" t="n">
        <v>277.569392348087</v>
      </c>
      <c r="N8" s="125" t="n">
        <v>116</v>
      </c>
      <c r="O8" s="125" t="n">
        <v>-161.569392348087</v>
      </c>
      <c r="P8" s="123" t="n">
        <v>596.7741935483871</v>
      </c>
      <c r="Q8" s="123" t="n">
        <v>11935.48387096774</v>
      </c>
      <c r="R8" s="123" t="n">
        <v>11502.190437</v>
      </c>
      <c r="S8" s="123" t="n">
        <v>-433.2934339677431</v>
      </c>
      <c r="T8" s="124" t="n">
        <v>-0.0363029633864865</v>
      </c>
      <c r="U8" s="123" t="n">
        <v>99.15681411206896</v>
      </c>
      <c r="V8" s="123" t="n">
        <v>56.15681411206896</v>
      </c>
      <c r="W8" s="126" t="n"/>
    </row>
    <row r="9" ht="36" customHeight="1" s="74">
      <c r="A9" s="93" t="inlineStr">
        <is>
          <t>Lead Veloce</t>
        </is>
      </c>
      <c r="B9" s="94" t="inlineStr">
        <is>
          <t>Google</t>
        </is>
      </c>
      <c r="C9" s="94" t="inlineStr">
        <is>
          <t>Search</t>
        </is>
      </c>
      <c r="D9" s="115" t="inlineStr">
        <is>
          <t>23968989759</t>
        </is>
      </c>
      <c r="E9" s="116" t="inlineStr">
        <is>
          <t>DYN_VELOCE Cessione del Quinto QUINTO DIGITALE</t>
        </is>
      </c>
      <c r="F9" s="117" t="n">
        <v>2000</v>
      </c>
      <c r="G9" s="118" t="n">
        <v>0.0465116279069767</v>
      </c>
      <c r="H9" s="117" t="n">
        <v>650</v>
      </c>
      <c r="I9" s="119" t="n">
        <v>3.08</v>
      </c>
      <c r="J9" s="117" t="n">
        <v>31</v>
      </c>
      <c r="K9" s="119" t="n">
        <v>64.51612903225806</v>
      </c>
      <c r="L9" s="119" t="n">
        <v>2.081165452653486</v>
      </c>
      <c r="M9" s="119" t="n">
        <v>41.62330905306972</v>
      </c>
      <c r="N9" s="119" t="n">
        <v>22</v>
      </c>
      <c r="O9" s="119" t="n">
        <v>-19.62330905306972</v>
      </c>
      <c r="P9" s="117" t="n">
        <v>64.51612903225806</v>
      </c>
      <c r="Q9" s="117" t="n">
        <v>1290.322580645161</v>
      </c>
      <c r="R9" s="117" t="n">
        <v>1287.967718</v>
      </c>
      <c r="S9" s="117" t="n">
        <v>-2.35486264516112</v>
      </c>
      <c r="T9" s="118" t="n">
        <v>-0.0018250185499998</v>
      </c>
      <c r="U9" s="117" t="n">
        <v>58.54398718181819</v>
      </c>
      <c r="V9" s="117" t="n">
        <v>27.54398718181819</v>
      </c>
      <c r="W9" s="120" t="inlineStr"/>
    </row>
    <row r="10" ht="36" customHeight="1" s="74">
      <c r="A10" s="93" t="inlineStr">
        <is>
          <t>Lead Veloce</t>
        </is>
      </c>
      <c r="B10" s="94" t="inlineStr">
        <is>
          <t>Google</t>
        </is>
      </c>
      <c r="C10" s="94" t="inlineStr">
        <is>
          <t>Search</t>
        </is>
      </c>
      <c r="D10" s="115" t="inlineStr">
        <is>
          <t>23990314506</t>
        </is>
      </c>
      <c r="E10" s="116" t="inlineStr">
        <is>
          <t>DYN_VELOCE Cessione del Quinto [Esatta] QUINTO DIGITALE</t>
        </is>
      </c>
      <c r="F10" s="117" t="n">
        <v>4000</v>
      </c>
      <c r="G10" s="118" t="n">
        <v>0.0930232558139534</v>
      </c>
      <c r="H10" s="117" t="n">
        <v>533</v>
      </c>
      <c r="I10" s="119" t="n">
        <v>7.5</v>
      </c>
      <c r="J10" s="117" t="n">
        <v>37</v>
      </c>
      <c r="K10" s="119" t="n">
        <v>108.1081081081081</v>
      </c>
      <c r="L10" s="119" t="n">
        <v>3.487358326068004</v>
      </c>
      <c r="M10" s="119" t="n">
        <v>69.74716652136007</v>
      </c>
      <c r="N10" s="119" t="n">
        <v>20</v>
      </c>
      <c r="O10" s="119" t="n">
        <v>-49.74716652136007</v>
      </c>
      <c r="P10" s="117" t="n">
        <v>129.0322580645161</v>
      </c>
      <c r="Q10" s="117" t="n">
        <v>2580.645161290322</v>
      </c>
      <c r="R10" s="117" t="n">
        <v>2565.755958</v>
      </c>
      <c r="S10" s="117" t="n">
        <v>-14.88920329032226</v>
      </c>
      <c r="T10" s="118" t="n">
        <v>-0.0057695662749998</v>
      </c>
      <c r="U10" s="117" t="n">
        <v>128.2877979</v>
      </c>
      <c r="V10" s="117" t="n">
        <v>91.28779790000002</v>
      </c>
      <c r="W10" s="120" t="inlineStr"/>
    </row>
    <row r="11" ht="36" customHeight="1" s="74">
      <c r="A11" s="93" t="inlineStr">
        <is>
          <t>Lead Veloce</t>
        </is>
      </c>
      <c r="B11" s="94" t="inlineStr">
        <is>
          <t>Google</t>
        </is>
      </c>
      <c r="C11" s="94" t="inlineStr">
        <is>
          <t>Search</t>
        </is>
      </c>
      <c r="D11" s="115" t="inlineStr">
        <is>
          <t>23993375943</t>
        </is>
      </c>
      <c r="E11" s="116" t="inlineStr">
        <is>
          <t>DYN_VELOCE CQ Pensionati QUINTO DIGITALE</t>
        </is>
      </c>
      <c r="F11" s="117" t="n">
        <v>500</v>
      </c>
      <c r="G11" s="118" t="n">
        <v>0.0116279069767441</v>
      </c>
      <c r="H11" s="117" t="n">
        <v>800</v>
      </c>
      <c r="I11" s="119" t="n">
        <v>0.63</v>
      </c>
      <c r="J11" s="117" t="n">
        <v>58</v>
      </c>
      <c r="K11" s="119" t="n">
        <v>8.620689655172415</v>
      </c>
      <c r="L11" s="119" t="n">
        <v>0.2780867630700779</v>
      </c>
      <c r="M11" s="119" t="n">
        <v>5.561735261401558</v>
      </c>
      <c r="N11" s="119" t="n">
        <v>2</v>
      </c>
      <c r="O11" s="119" t="n">
        <v>-3.561735261401558</v>
      </c>
      <c r="P11" s="117" t="n">
        <v>16.12903225806452</v>
      </c>
      <c r="Q11" s="117" t="n">
        <v>322.5806451612903</v>
      </c>
      <c r="R11" s="117" t="n">
        <v>330.470885</v>
      </c>
      <c r="S11" s="117" t="n">
        <v>7.890239838709704</v>
      </c>
      <c r="T11" s="118" t="n">
        <v>0.0244597435</v>
      </c>
      <c r="U11" s="117" t="n">
        <v>165.2354425</v>
      </c>
      <c r="V11" s="117" t="n">
        <v>107.2354425</v>
      </c>
      <c r="W11" s="120" t="inlineStr"/>
    </row>
    <row r="12" ht="36" customHeight="1" s="74">
      <c r="A12" s="93" t="inlineStr">
        <is>
          <t>Lead Veloce</t>
        </is>
      </c>
      <c r="B12" s="94" t="inlineStr">
        <is>
          <t>Google</t>
        </is>
      </c>
      <c r="C12" s="94" t="inlineStr">
        <is>
          <t>Search</t>
        </is>
      </c>
      <c r="D12" s="115" t="inlineStr">
        <is>
          <t>23993437149</t>
        </is>
      </c>
      <c r="E12" s="116" t="inlineStr">
        <is>
          <t>DYN_VELOCE CQ Pensionati ESTERO - Paesi Prioritari QUINTO DIGITALE</t>
        </is>
      </c>
      <c r="F12" s="117" t="n">
        <v>500</v>
      </c>
      <c r="G12" s="118" t="n">
        <v>0.0116279069767441</v>
      </c>
      <c r="H12" s="117" t="n">
        <v>500</v>
      </c>
      <c r="I12" s="119" t="n">
        <v>1</v>
      </c>
      <c r="J12" s="117" t="n">
        <v>160</v>
      </c>
      <c r="K12" s="119" t="n">
        <v>3.125</v>
      </c>
      <c r="L12" s="119" t="n">
        <v>0.1008064516129032</v>
      </c>
      <c r="M12" s="119" t="n">
        <v>2.016129032258065</v>
      </c>
      <c r="N12" s="119" t="n">
        <v>1</v>
      </c>
      <c r="O12" s="119" t="n">
        <v>-1.016129032258065</v>
      </c>
      <c r="P12" s="117" t="n">
        <v>16.12903225806452</v>
      </c>
      <c r="Q12" s="117" t="n">
        <v>322.5806451612903</v>
      </c>
      <c r="R12" s="117" t="n">
        <v>157.606346</v>
      </c>
      <c r="S12" s="117" t="n">
        <v>-164.9742991612903</v>
      </c>
      <c r="T12" s="118" t="n">
        <v>-0.5114203274</v>
      </c>
      <c r="U12" s="117" t="n">
        <v>157.606346</v>
      </c>
      <c r="V12" s="117" t="n">
        <v>-2.393653999999998</v>
      </c>
      <c r="W12" s="120" t="inlineStr"/>
    </row>
    <row r="13" ht="21" customHeight="1" s="74">
      <c r="A13" s="93" t="inlineStr">
        <is>
          <t>Lead Veloce</t>
        </is>
      </c>
      <c r="B13" s="94" t="inlineStr">
        <is>
          <t>Meta</t>
        </is>
      </c>
      <c r="C13" s="94" t="inlineStr">
        <is>
          <t>Display</t>
        </is>
      </c>
      <c r="D13" s="115" t="inlineStr">
        <is>
          <t>6944411197975</t>
        </is>
      </c>
      <c r="E13" s="116" t="inlineStr">
        <is>
          <t>DYN_VELOCE New Creative Apr26</t>
        </is>
      </c>
      <c r="F13" s="117" t="n">
        <v>5500</v>
      </c>
      <c r="G13" s="118" t="n">
        <v>0.127906976744186</v>
      </c>
      <c r="H13" s="117" t="n">
        <v>600</v>
      </c>
      <c r="I13" s="119" t="n">
        <v>9.17</v>
      </c>
      <c r="J13" s="117" t="n">
        <v>19</v>
      </c>
      <c r="K13" s="119" t="n">
        <v>289.4736842105263</v>
      </c>
      <c r="L13" s="119" t="n">
        <v>9.33786078098472</v>
      </c>
      <c r="M13" s="119" t="n">
        <v>186.7572156196944</v>
      </c>
      <c r="N13" s="119" t="n">
        <v>92</v>
      </c>
      <c r="O13" s="119" t="n">
        <v>-94.75721561969441</v>
      </c>
      <c r="P13" s="117" t="n">
        <v>177.4193548387097</v>
      </c>
      <c r="Q13" s="117" t="n">
        <v>3548.387096774193</v>
      </c>
      <c r="R13" s="117" t="n">
        <v>3542.01</v>
      </c>
      <c r="S13" s="117" t="n">
        <v>-6.377096774192978</v>
      </c>
      <c r="T13" s="118" t="n">
        <v>-0.0017971818181816</v>
      </c>
      <c r="U13" s="117" t="n">
        <v>38.50010869565217</v>
      </c>
      <c r="V13" s="117" t="n">
        <v>19.50010869565217</v>
      </c>
      <c r="W13" s="120" t="inlineStr"/>
    </row>
    <row r="14" ht="36" customHeight="1" s="74">
      <c r="A14" s="93" t="inlineStr">
        <is>
          <t>Lead Veloce</t>
        </is>
      </c>
      <c r="B14" s="94" t="inlineStr">
        <is>
          <t>Meta</t>
        </is>
      </c>
      <c r="C14" s="94" t="inlineStr">
        <is>
          <t>Display</t>
        </is>
      </c>
      <c r="D14" s="115" t="inlineStr">
        <is>
          <t>6970690462575</t>
        </is>
      </c>
      <c r="E14" s="116" t="inlineStr">
        <is>
          <t>[BMK 2025] LeadGen CQD PEN [Romania]</t>
        </is>
      </c>
      <c r="F14" s="117" t="n">
        <v>500</v>
      </c>
      <c r="G14" s="118" t="n">
        <v>0.0116279069767441</v>
      </c>
      <c r="H14" s="117" t="n">
        <v>1000</v>
      </c>
      <c r="I14" s="119" t="n">
        <v>0.5</v>
      </c>
      <c r="J14" s="117" t="n">
        <v>30</v>
      </c>
      <c r="K14" s="119" t="n">
        <v>16.66666666666667</v>
      </c>
      <c r="L14" s="119" t="n">
        <v>0.5376344086021506</v>
      </c>
      <c r="M14" s="119" t="n">
        <v>10.75268817204301</v>
      </c>
      <c r="N14" s="119" t="n">
        <v>7</v>
      </c>
      <c r="O14" s="119" t="n">
        <v>-3.752688172043012</v>
      </c>
      <c r="P14" s="117" t="n">
        <v>16.12903225806452</v>
      </c>
      <c r="Q14" s="117" t="n">
        <v>322.5806451612903</v>
      </c>
      <c r="R14" s="117" t="n">
        <v>201.47</v>
      </c>
      <c r="S14" s="117" t="n">
        <v>-121.1106451612903</v>
      </c>
      <c r="T14" s="118" t="n">
        <v>-0.3754429999999999</v>
      </c>
      <c r="U14" s="117" t="n">
        <v>28.78142857142857</v>
      </c>
      <c r="V14" s="117" t="n">
        <v>-1.21857142857143</v>
      </c>
      <c r="W14" s="120" t="inlineStr"/>
    </row>
    <row r="15" ht="36" customHeight="1" s="74">
      <c r="A15" s="93" t="inlineStr">
        <is>
          <t>Lead Veloce</t>
        </is>
      </c>
      <c r="B15" s="94" t="inlineStr">
        <is>
          <t>Meta</t>
        </is>
      </c>
      <c r="C15" s="94" t="inlineStr">
        <is>
          <t>Display</t>
        </is>
      </c>
      <c r="D15" s="115" t="inlineStr">
        <is>
          <t>6634088776775</t>
        </is>
      </c>
      <c r="E15" s="116" t="inlineStr">
        <is>
          <t>[BMK 2025] LeadGen CQD PEN [Tunisia]</t>
        </is>
      </c>
      <c r="F15" s="117" t="n">
        <v>500</v>
      </c>
      <c r="G15" s="118" t="n">
        <v>0.0116279069767441</v>
      </c>
      <c r="H15" s="117" t="n">
        <v>540</v>
      </c>
      <c r="I15" s="119" t="n"/>
      <c r="J15" s="117" t="n">
        <v>90</v>
      </c>
      <c r="K15" s="119" t="n">
        <v>5.555555555555555</v>
      </c>
      <c r="L15" s="119" t="n">
        <v>0.1792114695340501</v>
      </c>
      <c r="M15" s="119" t="n">
        <v>3.584229390681004</v>
      </c>
      <c r="N15" s="119" t="n">
        <v>0</v>
      </c>
      <c r="O15" s="119" t="n">
        <v>-3.584229390681004</v>
      </c>
      <c r="P15" s="117" t="n">
        <v>16.12903225806452</v>
      </c>
      <c r="Q15" s="117" t="n">
        <v>322.5806451612903</v>
      </c>
      <c r="R15" s="117" t="n">
        <v>198.67</v>
      </c>
      <c r="S15" s="117" t="n">
        <v>-123.9106451612903</v>
      </c>
      <c r="T15" s="118" t="n">
        <v>-0.384123</v>
      </c>
      <c r="U15" s="117" t="n"/>
      <c r="V15" s="117" t="n"/>
      <c r="W15" s="120" t="inlineStr"/>
    </row>
    <row r="16" ht="21" customHeight="1" s="74">
      <c r="A16" s="93" t="inlineStr">
        <is>
          <t>Pulsanti</t>
        </is>
      </c>
      <c r="B16" s="94" t="inlineStr">
        <is>
          <t>Google</t>
        </is>
      </c>
      <c r="C16" s="94" t="inlineStr">
        <is>
          <t>Display</t>
        </is>
      </c>
      <c r="D16" s="115" t="inlineStr">
        <is>
          <t>21905808840</t>
        </is>
      </c>
      <c r="E16" s="116" t="inlineStr">
        <is>
          <t>DYN_PUL Leads-Pmax</t>
        </is>
      </c>
      <c r="F16" s="117" t="n">
        <v>1500</v>
      </c>
      <c r="G16" s="118" t="n">
        <v>0.0348837209302325</v>
      </c>
      <c r="H16" s="117" t="n">
        <v>897</v>
      </c>
      <c r="I16" s="119" t="n">
        <v>1.67</v>
      </c>
      <c r="J16" s="117" t="n">
        <v>12</v>
      </c>
      <c r="K16" s="119" t="n">
        <v>125</v>
      </c>
      <c r="L16" s="119" t="n">
        <v>4.032258064516129</v>
      </c>
      <c r="M16" s="119" t="n">
        <v>80.64516129032258</v>
      </c>
      <c r="N16" s="119" t="n">
        <v>19</v>
      </c>
      <c r="O16" s="119" t="n">
        <v>-61.64516129032258</v>
      </c>
      <c r="P16" s="117" t="n">
        <v>48.38709677419355</v>
      </c>
      <c r="Q16" s="117" t="n">
        <v>967.741935483871</v>
      </c>
      <c r="R16" s="117" t="n">
        <v>956.753649</v>
      </c>
      <c r="S16" s="117" t="n">
        <v>-10.98828648387098</v>
      </c>
      <c r="T16" s="118" t="n">
        <v>-0.0113545627</v>
      </c>
      <c r="U16" s="117" t="n">
        <v>50.35545521052632</v>
      </c>
      <c r="V16" s="117" t="n">
        <v>38.35545521052632</v>
      </c>
      <c r="W16" s="120" t="inlineStr"/>
    </row>
    <row r="17" ht="21" customHeight="1" s="74">
      <c r="A17" s="93" t="inlineStr">
        <is>
          <t>Whatsapp</t>
        </is>
      </c>
      <c r="B17" s="94" t="inlineStr">
        <is>
          <t>Meta</t>
        </is>
      </c>
      <c r="C17" s="94" t="inlineStr">
        <is>
          <t>Display</t>
        </is>
      </c>
      <c r="D17" s="115" t="inlineStr">
        <is>
          <t>52533122877779</t>
        </is>
      </c>
      <c r="E17" s="116" t="inlineStr">
        <is>
          <t>DYN_Landing_Whatsapp</t>
        </is>
      </c>
      <c r="F17" s="117" t="n">
        <v>1000</v>
      </c>
      <c r="G17" s="118" t="n">
        <v>0.0232558139534883</v>
      </c>
      <c r="H17" s="117" t="n"/>
      <c r="I17" s="119" t="n"/>
      <c r="J17" s="117" t="n">
        <v>23</v>
      </c>
      <c r="K17" s="119" t="n">
        <v>43.47826086956522</v>
      </c>
      <c r="L17" s="119" t="n">
        <v>1.402524544179523</v>
      </c>
      <c r="M17" s="119" t="n">
        <v>28.05049088359046</v>
      </c>
      <c r="N17" s="119" t="n">
        <v>3</v>
      </c>
      <c r="O17" s="119" t="n">
        <v>-25.05049088359046</v>
      </c>
      <c r="P17" s="117" t="n">
        <v>32.25806451612903</v>
      </c>
      <c r="Q17" s="117" t="n">
        <v>645.1612903225806</v>
      </c>
      <c r="R17" s="117" t="n">
        <v>589.52</v>
      </c>
      <c r="S17" s="117" t="n">
        <v>-55.64129032258063</v>
      </c>
      <c r="T17" s="118" t="n">
        <v>-0.0862439999999999</v>
      </c>
      <c r="U17" s="117" t="n">
        <v>196.5066666666666</v>
      </c>
      <c r="V17" s="117" t="n">
        <v>173.5066666666667</v>
      </c>
      <c r="W17" s="120" t="inlineStr"/>
    </row>
    <row r="18" ht="21" customHeight="1" s="74">
      <c r="A18" s="121" t="inlineStr">
        <is>
          <t>TOT Lead Veloce</t>
        </is>
      </c>
      <c r="B18" s="122" t="n"/>
      <c r="C18" s="122" t="n"/>
      <c r="D18" s="122" t="n"/>
      <c r="E18" s="122" t="n"/>
      <c r="F18" s="123" t="n">
        <v>16000</v>
      </c>
      <c r="G18" s="124" t="n">
        <v>0.3720930232558139</v>
      </c>
      <c r="H18" s="123" t="n">
        <v>850</v>
      </c>
      <c r="I18" s="125" t="n">
        <v>23.55</v>
      </c>
      <c r="J18" s="123" t="n">
        <v>24.0766566765155</v>
      </c>
      <c r="K18" s="125" t="n">
        <v>664.5440940978524</v>
      </c>
      <c r="L18" s="125" t="n">
        <v>21.43690626122104</v>
      </c>
      <c r="M18" s="125" t="n">
        <v>428.7381252244209</v>
      </c>
      <c r="N18" s="125" t="n">
        <v>166</v>
      </c>
      <c r="O18" s="125" t="n">
        <v>-262.7381252244209</v>
      </c>
      <c r="P18" s="123" t="n">
        <v>516.1290322580645</v>
      </c>
      <c r="Q18" s="123" t="n">
        <v>10322.58064516129</v>
      </c>
      <c r="R18" s="123" t="n">
        <v>9830.224555999999</v>
      </c>
      <c r="S18" s="123" t="n">
        <v>-492.3560891612888</v>
      </c>
      <c r="T18" s="124" t="n">
        <v>-0.0476969961374998</v>
      </c>
      <c r="U18" s="123" t="n">
        <v>59.21822021686748</v>
      </c>
      <c r="V18" s="123" t="n">
        <v>35.14156354035198</v>
      </c>
      <c r="W18" s="126" t="n"/>
    </row>
    <row r="19" ht="21" customHeight="1" s="74">
      <c r="A19" s="93" t="inlineStr">
        <is>
          <t>Lead Veloce</t>
        </is>
      </c>
      <c r="B19" s="94" t="inlineStr">
        <is>
          <t>Dem</t>
        </is>
      </c>
      <c r="C19" s="94" t="inlineStr">
        <is>
          <t>DEM</t>
        </is>
      </c>
      <c r="D19" s="115" t="inlineStr"/>
      <c r="E19" s="116" t="inlineStr">
        <is>
          <t>DEM DYNAMICS ADVICE ME</t>
        </is>
      </c>
      <c r="F19" s="117" t="n">
        <v>4500</v>
      </c>
      <c r="G19" s="118" t="n">
        <v>0.1046511627906976</v>
      </c>
      <c r="H19" s="117" t="n">
        <v>645</v>
      </c>
      <c r="I19" s="119" t="n">
        <v>7</v>
      </c>
      <c r="J19" s="117" t="n">
        <v>7.6</v>
      </c>
      <c r="K19" s="119" t="n">
        <v>592.1052631578948</v>
      </c>
      <c r="L19" s="119" t="n">
        <v>28.19548872180452</v>
      </c>
      <c r="M19" s="119" t="n">
        <v>394.7368421052632</v>
      </c>
      <c r="N19" s="119" t="n">
        <v>93</v>
      </c>
      <c r="O19" s="119" t="n">
        <v>-301.7368421052632</v>
      </c>
      <c r="P19" s="117" t="n">
        <v>214.2857142857143</v>
      </c>
      <c r="Q19" s="117" t="n">
        <v>3000</v>
      </c>
      <c r="R19" s="117" t="n">
        <v>706.8</v>
      </c>
      <c r="S19" s="117" t="n">
        <v>-2293.2</v>
      </c>
      <c r="T19" s="118" t="n">
        <v>-0.7644</v>
      </c>
      <c r="U19" s="117" t="n">
        <v>7.6</v>
      </c>
      <c r="V19" s="117" t="n">
        <v>0</v>
      </c>
      <c r="W19" s="120" t="inlineStr"/>
    </row>
    <row r="20" ht="21" customHeight="1" s="74">
      <c r="A20" s="93" t="inlineStr">
        <is>
          <t>Lead Veloce</t>
        </is>
      </c>
      <c r="B20" s="94" t="inlineStr">
        <is>
          <t>Dem</t>
        </is>
      </c>
      <c r="C20" s="94" t="inlineStr">
        <is>
          <t>DEM</t>
        </is>
      </c>
      <c r="D20" s="115" t="inlineStr"/>
      <c r="E20" s="116" t="inlineStr">
        <is>
          <t>DEM DIGITOO</t>
        </is>
      </c>
      <c r="F20" s="117" t="n">
        <v>3000</v>
      </c>
      <c r="G20" s="118" t="n">
        <v>0.0697674418604651</v>
      </c>
      <c r="H20" s="117" t="n">
        <v>305</v>
      </c>
      <c r="I20" s="119" t="n">
        <v>10</v>
      </c>
      <c r="J20" s="117" t="n">
        <v>9</v>
      </c>
      <c r="K20" s="119" t="n">
        <v>333.3333333333333</v>
      </c>
      <c r="L20" s="119" t="n">
        <v>15.87301587301587</v>
      </c>
      <c r="M20" s="119" t="n">
        <v>222.2222222222222</v>
      </c>
      <c r="N20" s="119" t="n">
        <v>60</v>
      </c>
      <c r="O20" s="119" t="n">
        <v>-162.2222222222222</v>
      </c>
      <c r="P20" s="117" t="n">
        <v>142.8571428571429</v>
      </c>
      <c r="Q20" s="117" t="n">
        <v>2000</v>
      </c>
      <c r="R20" s="117" t="n">
        <v>540</v>
      </c>
      <c r="S20" s="117" t="n">
        <v>-1460</v>
      </c>
      <c r="T20" s="118" t="n">
        <v>-0.73</v>
      </c>
      <c r="U20" s="117" t="n">
        <v>9</v>
      </c>
      <c r="V20" s="117" t="n">
        <v>0</v>
      </c>
      <c r="W20" s="120" t="inlineStr"/>
    </row>
    <row r="21" ht="21" customHeight="1" s="74">
      <c r="A21" s="93" t="inlineStr">
        <is>
          <t>Lead Veloce</t>
        </is>
      </c>
      <c r="B21" s="94" t="inlineStr">
        <is>
          <t>Dem</t>
        </is>
      </c>
      <c r="C21" s="94" t="inlineStr">
        <is>
          <t>DEM</t>
        </is>
      </c>
      <c r="D21" s="115" t="inlineStr"/>
      <c r="E21" s="116" t="inlineStr">
        <is>
          <t>DEM TIG</t>
        </is>
      </c>
      <c r="F21" s="117" t="n">
        <v>1000</v>
      </c>
      <c r="G21" s="118" t="n">
        <v>0.0232558139534883</v>
      </c>
      <c r="H21" s="117" t="n">
        <v>500</v>
      </c>
      <c r="I21" s="119" t="n">
        <v>2</v>
      </c>
      <c r="J21" s="117" t="n">
        <v>8</v>
      </c>
      <c r="K21" s="119" t="n">
        <v>125</v>
      </c>
      <c r="L21" s="119" t="n">
        <v>5.952380952380953</v>
      </c>
      <c r="M21" s="119" t="n">
        <v>83.33333333333334</v>
      </c>
      <c r="N21" s="119" t="n">
        <v>45</v>
      </c>
      <c r="O21" s="119" t="n">
        <v>-38.33333333333334</v>
      </c>
      <c r="P21" s="117" t="n">
        <v>47.61904761904762</v>
      </c>
      <c r="Q21" s="117" t="n">
        <v>666.6666666666667</v>
      </c>
      <c r="R21" s="117" t="n">
        <v>360</v>
      </c>
      <c r="S21" s="117" t="n">
        <v>-306.6666666666667</v>
      </c>
      <c r="T21" s="118" t="n">
        <v>-0.4600000000000001</v>
      </c>
      <c r="U21" s="117" t="n">
        <v>8</v>
      </c>
      <c r="V21" s="117" t="n">
        <v>0</v>
      </c>
      <c r="W21" s="120" t="inlineStr"/>
    </row>
    <row r="22" ht="21" customHeight="1" s="74">
      <c r="A22" s="121" t="inlineStr">
        <is>
          <t>TOT DEM</t>
        </is>
      </c>
      <c r="B22" s="122" t="n"/>
      <c r="C22" s="122" t="n"/>
      <c r="D22" s="122" t="n"/>
      <c r="E22" s="122" t="n"/>
      <c r="F22" s="123" t="n">
        <v>8500</v>
      </c>
      <c r="G22" s="124" t="n">
        <v>0.1976744186046511</v>
      </c>
      <c r="H22" s="123" t="n">
        <v>447.3684210526316</v>
      </c>
      <c r="I22" s="125" t="n">
        <v>19</v>
      </c>
      <c r="J22" s="123" t="n">
        <v>8.091858037578287</v>
      </c>
      <c r="K22" s="125" t="n">
        <v>1050.438596491228</v>
      </c>
      <c r="L22" s="125" t="n">
        <v>50.02088554720134</v>
      </c>
      <c r="M22" s="125" t="n">
        <v>700.2923976608188</v>
      </c>
      <c r="N22" s="125" t="n">
        <v>198</v>
      </c>
      <c r="O22" s="125" t="n">
        <v>-502.2923976608188</v>
      </c>
      <c r="P22" s="123" t="n">
        <v>404.7619047619048</v>
      </c>
      <c r="Q22" s="123" t="n">
        <v>5666.666666666667</v>
      </c>
      <c r="R22" s="123" t="n">
        <v>1606.8</v>
      </c>
      <c r="S22" s="123" t="n">
        <v>-4059.866666666667</v>
      </c>
      <c r="T22" s="124" t="n">
        <v>-0.7164470588235294</v>
      </c>
      <c r="U22" s="123" t="n">
        <v>8.115151515151515</v>
      </c>
      <c r="V22" s="123" t="n">
        <v>0.0232934775732278</v>
      </c>
      <c r="W22" s="126" t="n"/>
    </row>
    <row r="23" ht="21" customHeight="1" s="74">
      <c r="A23" s="127" t="inlineStr">
        <is>
          <t>TOTALE GENERALE</t>
        </is>
      </c>
      <c r="B23" s="128" t="n"/>
      <c r="C23" s="128" t="n"/>
      <c r="D23" s="128" t="n"/>
      <c r="E23" s="128" t="n"/>
      <c r="F23" s="129" t="n">
        <v>43000</v>
      </c>
      <c r="G23" s="130" t="n">
        <v>1</v>
      </c>
      <c r="H23" s="129" t="n">
        <v>496.8226458694397</v>
      </c>
      <c r="I23" s="131" t="n">
        <v>86.55</v>
      </c>
      <c r="J23" s="129" t="n">
        <v>20.04460858903758</v>
      </c>
      <c r="K23" s="131" t="n">
        <v>2145.215248728616</v>
      </c>
      <c r="L23" s="131" t="n">
        <v>85.33626142582673</v>
      </c>
      <c r="M23" s="131" t="n">
        <v>1406.599915233327</v>
      </c>
      <c r="N23" s="131" t="n">
        <v>480</v>
      </c>
      <c r="O23" s="131" t="n">
        <v>-926.5999152333266</v>
      </c>
      <c r="P23" s="129" t="n">
        <v>1517.665130568356</v>
      </c>
      <c r="Q23" s="129" t="n">
        <v>27924.7311827957</v>
      </c>
      <c r="R23" s="129" t="n">
        <v>22939.214993</v>
      </c>
      <c r="S23" s="129" t="n">
        <v>-4985.516189795697</v>
      </c>
      <c r="T23" s="130" t="n">
        <v>-0.1785340799580284</v>
      </c>
      <c r="U23" s="129" t="n">
        <v>47.79003123541667</v>
      </c>
      <c r="V23" s="129" t="n">
        <v>27.74542264637909</v>
      </c>
      <c r="W23" s="132" t="n"/>
    </row>
    <row r="24" ht="21" customHeight="1" s="74"/>
    <row r="25" ht="21" customHeight="1" s="74"/>
    <row r="26" ht="21" customHeight="1" s="74"/>
    <row r="27" ht="21" customHeight="1" s="74"/>
    <row r="28" ht="21" customHeight="1" s="74"/>
    <row r="29" ht="21" customHeight="1" s="74"/>
    <row r="30" ht="21" customHeight="1" s="74"/>
    <row r="31" ht="21" customHeight="1" s="74"/>
    <row r="32" ht="21" customHeight="1" s="74"/>
    <row r="33" ht="21" customHeight="1" s="74"/>
    <row r="34" ht="21" customHeight="1" s="74"/>
    <row r="35" ht="24" customHeight="1" s="74"/>
  </sheetData>
  <mergeCells count="6">
    <mergeCell ref="A1:W1"/>
    <mergeCell ref="A23:E23"/>
    <mergeCell ref="A8:E8"/>
    <mergeCell ref="A2:W2"/>
    <mergeCell ref="A22:E22"/>
    <mergeCell ref="A18:E18"/>
  </mergeCells>
  <conditionalFormatting sqref="O5:O23">
    <cfRule type="cellIs" priority="10" operator="greaterThan" dxfId="9">
      <formula>0</formula>
    </cfRule>
    <cfRule type="cellIs" priority="11" operator="lessThan" dxfId="10">
      <formula>0</formula>
    </cfRule>
  </conditionalFormatting>
  <conditionalFormatting sqref="T5:T23">
    <cfRule type="cellIs" priority="12" operator="lessThan" dxfId="10">
      <formula>-0.2</formula>
    </cfRule>
    <cfRule type="cellIs" priority="13" operator="between" dxfId="11">
      <formula>-0.2</formula>
      <formula>0</formula>
    </cfRule>
    <cfRule type="cellIs" priority="14" operator="greaterThan" dxfId="9">
      <formula>0</formula>
    </cfRule>
  </conditionalFormatting>
  <conditionalFormatting sqref="V5:V23">
    <cfRule type="cellIs" priority="15" operator="lessThan" dxfId="9">
      <formula>0</formula>
    </cfRule>
    <cfRule type="cellIs" priority="16" operator="greaterThan" dxfId="10">
      <formula>0</formula>
    </cfRule>
  </conditionalFormatting>
  <printOptions horizontalCentered="1"/>
  <pageMargins left="0.25" right="0.25" top="0.5" bottom="0.5" header="0.3" footer="0.3"/>
  <pageSetup orientation="landscape" fitToHeight="0" fitToWidth="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F20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8" customWidth="1" style="74" min="1" max="1"/>
    <col width="18" customWidth="1" style="74" min="2" max="2"/>
    <col width="18" customWidth="1" style="74" min="3" max="3"/>
    <col width="18" customWidth="1" style="74" min="4" max="4"/>
    <col width="18" customWidth="1" style="74" min="5" max="5"/>
    <col width="18" customWidth="1" style="74" min="6" max="6"/>
    <col width="18" customWidth="1" style="74" min="7" max="7"/>
    <col width="18" customWidth="1" style="74" min="8" max="8"/>
    <col width="35" customWidth="1" style="74" min="9" max="9"/>
    <col width="18" customWidth="1" style="74" min="10" max="10"/>
    <col width="18" customWidth="1" style="74" min="11" max="11"/>
    <col width="18" customWidth="1" style="74" min="12" max="12"/>
    <col width="18" customWidth="1" style="74" min="13" max="13"/>
    <col width="18" customWidth="1" style="74" min="14" max="14"/>
    <col width="18" customWidth="1" style="74" min="15" max="15"/>
    <col width="18" customWidth="1" style="74" min="16" max="16"/>
    <col width="18" customWidth="1" style="74" min="17" max="17"/>
    <col width="18" customWidth="1" style="74" min="18" max="18"/>
    <col width="18" customWidth="1" style="74" min="19" max="19"/>
    <col width="18" customWidth="1" style="74" min="20" max="20"/>
    <col width="18" customWidth="1" style="74" min="21" max="21"/>
    <col width="18" customWidth="1" style="74" min="22" max="22"/>
    <col width="18" customWidth="1" style="74" min="23" max="23"/>
    <col width="18" customWidth="1" style="74" min="24" max="24"/>
    <col width="18" customWidth="1" style="74" min="25" max="25"/>
    <col width="18" customWidth="1" style="74" min="26" max="26"/>
    <col width="35" customWidth="1" style="74" min="27" max="27"/>
    <col width="23" customWidth="1" style="74" min="28" max="28"/>
    <col width="23" customWidth="1" style="74" min="29" max="29"/>
    <col width="23" customWidth="1" style="74" min="30" max="30"/>
    <col width="35" customWidth="1" style="74" min="31" max="31"/>
    <col width="18" customWidth="1" style="74" min="32" max="32"/>
  </cols>
  <sheetData>
    <row r="1" ht="34" customHeight="1" s="74">
      <c r="A1" s="133" t="inlineStr">
        <is>
          <t>row_type</t>
        </is>
      </c>
      <c r="B1" s="133" t="inlineStr">
        <is>
          <t>report_date</t>
        </is>
      </c>
      <c r="C1" s="133" t="inlineStr">
        <is>
          <t>start_date</t>
        </is>
      </c>
      <c r="D1" s="133" t="inlineStr">
        <is>
          <t>end_date</t>
        </is>
      </c>
      <c r="E1" s="133" t="inlineStr">
        <is>
          <t>excel_row</t>
        </is>
      </c>
      <c r="F1" s="133" t="inlineStr">
        <is>
          <t>funnel</t>
        </is>
      </c>
      <c r="G1" s="133" t="inlineStr">
        <is>
          <t>platform</t>
        </is>
      </c>
      <c r="H1" s="133" t="inlineStr">
        <is>
          <t>channel</t>
        </is>
      </c>
      <c r="I1" s="133" t="inlineStr">
        <is>
          <t>campaign_name</t>
        </is>
      </c>
      <c r="J1" s="133" t="inlineStr">
        <is>
          <t>investimento_media</t>
        </is>
      </c>
      <c r="K1" s="133" t="inlineStr">
        <is>
          <t>percentuale_investimento</t>
        </is>
      </c>
      <c r="L1" s="133" t="inlineStr">
        <is>
          <t>cpp_medio</t>
        </is>
      </c>
      <c r="M1" s="133" t="inlineStr">
        <is>
          <t>stima_pratiche</t>
        </is>
      </c>
      <c r="N1" s="133" t="inlineStr">
        <is>
          <t>cpl_target</t>
        </is>
      </c>
      <c r="O1" s="133" t="inlineStr">
        <is>
          <t>stima_lead</t>
        </is>
      </c>
      <c r="P1" s="133" t="inlineStr">
        <is>
          <t>stima_lead_giornaliere</t>
        </is>
      </c>
      <c r="Q1" s="133" t="inlineStr">
        <is>
          <t>stima_lead_progressiva</t>
        </is>
      </c>
      <c r="R1" s="133" t="inlineStr">
        <is>
          <t>lead_effettive</t>
        </is>
      </c>
      <c r="S1" s="133" t="inlineStr">
        <is>
          <t>delta_lead</t>
        </is>
      </c>
      <c r="T1" s="133" t="inlineStr">
        <is>
          <t>stima_spending_giornaliera</t>
        </is>
      </c>
      <c r="U1" s="133" t="inlineStr">
        <is>
          <t>stima_spending_progressiva</t>
        </is>
      </c>
      <c r="V1" s="133" t="inlineStr">
        <is>
          <t>speso_effettivo</t>
        </is>
      </c>
      <c r="W1" s="133" t="inlineStr">
        <is>
          <t>delta_speso</t>
        </is>
      </c>
      <c r="X1" s="133" t="inlineStr">
        <is>
          <t>delta_delivery_pct</t>
        </is>
      </c>
      <c r="Y1" s="133" t="inlineStr">
        <is>
          <t>cpl_effettivo</t>
        </is>
      </c>
      <c r="Z1" s="133" t="inlineStr">
        <is>
          <t>delta_cpl</t>
        </is>
      </c>
      <c r="AA1" s="133" t="inlineStr">
        <is>
          <t>action</t>
        </is>
      </c>
      <c r="AB1" s="133" t="inlineStr">
        <is>
          <t>google_campaign_id</t>
        </is>
      </c>
      <c r="AC1" s="133" t="inlineStr">
        <is>
          <t>meta_campaign_id</t>
        </is>
      </c>
      <c r="AD1" s="133" t="inlineStr">
        <is>
          <t>dynamics_campaign_key</t>
        </is>
      </c>
      <c r="AE1" s="133" t="inlineStr">
        <is>
          <t>source_status</t>
        </is>
      </c>
      <c r="AF1" s="133" t="inlineStr">
        <is>
          <t>lead_allocation_method</t>
        </is>
      </c>
    </row>
    <row r="2">
      <c r="A2" t="inlineStr">
        <is>
          <t>campaign</t>
        </is>
      </c>
      <c r="B2" s="134" t="n">
        <v>46255</v>
      </c>
      <c r="C2" s="134" t="n">
        <v>46235</v>
      </c>
      <c r="D2" s="134" t="n">
        <v>46254</v>
      </c>
      <c r="E2" t="n">
        <v>2</v>
      </c>
      <c r="F2" t="inlineStr">
        <is>
          <t>Area Clienti</t>
        </is>
      </c>
      <c r="G2" t="inlineStr">
        <is>
          <t>Google</t>
        </is>
      </c>
      <c r="H2" t="inlineStr">
        <is>
          <t>Search</t>
        </is>
      </c>
      <c r="I2" t="inlineStr">
        <is>
          <t>DYN_AREACL CQ e CQP | Calcola Preventivo - QUINTO DIGITALE</t>
        </is>
      </c>
      <c r="J2" s="135" t="n">
        <v>8000</v>
      </c>
      <c r="K2" s="136" t="n">
        <v>0.1860465116279069</v>
      </c>
      <c r="L2" s="135" t="n"/>
      <c r="N2" s="135" t="n"/>
      <c r="T2" s="135" t="n">
        <v>258.0645161290323</v>
      </c>
      <c r="U2" s="135" t="n">
        <v>5161.290322580645</v>
      </c>
      <c r="V2" s="135" t="n">
        <v>5225.023895</v>
      </c>
      <c r="W2" s="135" t="n">
        <v>63.73357241935537</v>
      </c>
      <c r="X2" s="136" t="n">
        <v>0.0123483796562501</v>
      </c>
      <c r="Y2" s="135" t="n"/>
      <c r="Z2" s="135" t="n"/>
      <c r="AB2" s="137" t="inlineStr">
        <is>
          <t>23993507424</t>
        </is>
      </c>
      <c r="AC2" s="137" t="inlineStr"/>
      <c r="AD2" s="137" t="inlineStr"/>
      <c r="AE2" t="inlineStr">
        <is>
          <t>google:ok;crm:stale</t>
        </is>
      </c>
      <c r="AF2" t="inlineStr">
        <is>
          <t>area_clienti_total</t>
        </is>
      </c>
    </row>
    <row r="3">
      <c r="A3" t="inlineStr">
        <is>
          <t>campaign</t>
        </is>
      </c>
      <c r="B3" s="134" t="n">
        <v>46255</v>
      </c>
      <c r="C3" s="134" t="n">
        <v>46235</v>
      </c>
      <c r="D3" s="134" t="n">
        <v>46254</v>
      </c>
      <c r="E3" t="n">
        <v>3</v>
      </c>
      <c r="F3" t="inlineStr">
        <is>
          <t>Area Clienti</t>
        </is>
      </c>
      <c r="G3" t="inlineStr">
        <is>
          <t>Google</t>
        </is>
      </c>
      <c r="H3" t="inlineStr">
        <is>
          <t>Search</t>
        </is>
      </c>
      <c r="I3" t="inlineStr">
        <is>
          <t>DYN_AREACL Delega di Pagamento - QUINTO DIGITALE</t>
        </is>
      </c>
      <c r="J3" s="135" t="n">
        <v>1000</v>
      </c>
      <c r="K3" s="136" t="n">
        <v>0.0232558139534883</v>
      </c>
      <c r="L3" s="135" t="n"/>
      <c r="N3" s="135" t="n"/>
      <c r="T3" s="135" t="n">
        <v>32.25806451612903</v>
      </c>
      <c r="U3" s="135" t="n">
        <v>645.1612903225806</v>
      </c>
      <c r="V3" s="135" t="n">
        <v>632.346542</v>
      </c>
      <c r="W3" s="135" t="n">
        <v>-12.81474832258061</v>
      </c>
      <c r="X3" s="136" t="n">
        <v>-0.0198628598999999</v>
      </c>
      <c r="Y3" s="135" t="n"/>
      <c r="Z3" s="135" t="n"/>
      <c r="AB3" s="137" t="inlineStr">
        <is>
          <t>23998450448</t>
        </is>
      </c>
      <c r="AC3" s="137" t="inlineStr"/>
      <c r="AD3" s="137" t="inlineStr"/>
      <c r="AE3" t="inlineStr">
        <is>
          <t>google:ok;crm:stale</t>
        </is>
      </c>
      <c r="AF3" t="inlineStr">
        <is>
          <t>area_clienti_total</t>
        </is>
      </c>
    </row>
    <row r="4">
      <c r="A4" t="inlineStr">
        <is>
          <t>campaign</t>
        </is>
      </c>
      <c r="B4" s="134" t="n">
        <v>46255</v>
      </c>
      <c r="C4" s="134" t="n">
        <v>46235</v>
      </c>
      <c r="D4" s="134" t="n">
        <v>46254</v>
      </c>
      <c r="E4" t="n">
        <v>4</v>
      </c>
      <c r="F4" t="inlineStr">
        <is>
          <t>Area Clienti</t>
        </is>
      </c>
      <c r="G4" t="inlineStr">
        <is>
          <t>Meta</t>
        </is>
      </c>
      <c r="H4" t="inlineStr">
        <is>
          <t>Display</t>
        </is>
      </c>
      <c r="I4" t="inlineStr">
        <is>
          <t>DYN_AREACL 2.0 - PURCHASE</t>
        </is>
      </c>
      <c r="J4" s="135" t="n">
        <v>9500</v>
      </c>
      <c r="K4" s="136" t="n">
        <v>0.2209302325581395</v>
      </c>
      <c r="L4" s="135" t="n"/>
      <c r="N4" s="135" t="n"/>
      <c r="T4" s="135" t="n">
        <v>306.4516129032258</v>
      </c>
      <c r="U4" s="135" t="n">
        <v>6129.032258064516</v>
      </c>
      <c r="V4" s="135" t="n">
        <v>5644.82</v>
      </c>
      <c r="W4" s="135" t="n">
        <v>-484.2122580645164</v>
      </c>
      <c r="X4" s="136" t="n">
        <v>-0.0790030526315789</v>
      </c>
      <c r="Y4" s="135" t="n"/>
      <c r="Z4" s="135" t="n"/>
      <c r="AB4" s="137" t="inlineStr"/>
      <c r="AC4" s="137" t="inlineStr">
        <is>
          <t>6905931065575</t>
        </is>
      </c>
      <c r="AD4" s="137" t="inlineStr"/>
      <c r="AE4" t="inlineStr">
        <is>
          <t>meta:ok;crm:stale</t>
        </is>
      </c>
      <c r="AF4" t="inlineStr">
        <is>
          <t>area_clienti_total</t>
        </is>
      </c>
    </row>
    <row r="5">
      <c r="A5" t="inlineStr">
        <is>
          <t>campaign</t>
        </is>
      </c>
      <c r="B5" s="134" t="n">
        <v>46255</v>
      </c>
      <c r="C5" s="134" t="n">
        <v>46235</v>
      </c>
      <c r="D5" s="134" t="n">
        <v>46254</v>
      </c>
      <c r="E5" t="n">
        <v>16</v>
      </c>
      <c r="F5" t="inlineStr">
        <is>
          <t>Lead Veloce</t>
        </is>
      </c>
      <c r="G5" t="inlineStr">
        <is>
          <t>Dem</t>
        </is>
      </c>
      <c r="H5" t="inlineStr">
        <is>
          <t>DEM</t>
        </is>
      </c>
      <c r="I5" t="inlineStr">
        <is>
          <t>DEM DYNAMICS ADVICE ME</t>
        </is>
      </c>
      <c r="J5" s="135" t="n">
        <v>4500</v>
      </c>
      <c r="K5" s="136" t="n">
        <v>0.1046511627906976</v>
      </c>
      <c r="L5" s="135" t="n">
        <v>645</v>
      </c>
      <c r="M5" t="n">
        <v>7</v>
      </c>
      <c r="N5" s="135" t="n">
        <v>7.6</v>
      </c>
      <c r="O5" t="n">
        <v>592.1052631578948</v>
      </c>
      <c r="P5" t="n">
        <v>28.19548872180452</v>
      </c>
      <c r="Q5" t="n">
        <v>394.7368421052632</v>
      </c>
      <c r="R5" t="n">
        <v>93</v>
      </c>
      <c r="S5" t="n">
        <v>-301.7368421052632</v>
      </c>
      <c r="T5" s="135" t="n">
        <v>214.2857142857143</v>
      </c>
      <c r="U5" s="135" t="n">
        <v>3000</v>
      </c>
      <c r="V5" s="135" t="n">
        <v>706.8</v>
      </c>
      <c r="W5" s="135" t="n">
        <v>-2293.2</v>
      </c>
      <c r="X5" s="136" t="n">
        <v>-0.7644</v>
      </c>
      <c r="Y5" s="135" t="n">
        <v>7.6</v>
      </c>
      <c r="Z5" s="135" t="n">
        <v>0</v>
      </c>
      <c r="AB5" s="137" t="inlineStr"/>
      <c r="AC5" s="137" t="inlineStr"/>
      <c r="AD5" s="137" t="inlineStr"/>
      <c r="AE5" t="inlineStr">
        <is>
          <t>manual:no_ads_source;crm:stale</t>
        </is>
      </c>
      <c r="AF5" t="inlineStr">
        <is>
          <t>crm_mapping</t>
        </is>
      </c>
    </row>
    <row r="6">
      <c r="A6" t="inlineStr">
        <is>
          <t>campaign</t>
        </is>
      </c>
      <c r="B6" s="134" t="n">
        <v>46255</v>
      </c>
      <c r="C6" s="134" t="n">
        <v>46235</v>
      </c>
      <c r="D6" s="134" t="n">
        <v>46254</v>
      </c>
      <c r="E6" t="n">
        <v>17</v>
      </c>
      <c r="F6" t="inlineStr">
        <is>
          <t>Lead Veloce</t>
        </is>
      </c>
      <c r="G6" t="inlineStr">
        <is>
          <t>Dem</t>
        </is>
      </c>
      <c r="H6" t="inlineStr">
        <is>
          <t>DEM</t>
        </is>
      </c>
      <c r="I6" t="inlineStr">
        <is>
          <t>DEM DIGITOO</t>
        </is>
      </c>
      <c r="J6" s="135" t="n">
        <v>3000</v>
      </c>
      <c r="K6" s="136" t="n">
        <v>0.0697674418604651</v>
      </c>
      <c r="L6" s="135" t="n">
        <v>305</v>
      </c>
      <c r="M6" t="n">
        <v>10</v>
      </c>
      <c r="N6" s="135" t="n">
        <v>9</v>
      </c>
      <c r="O6" t="n">
        <v>333.3333333333333</v>
      </c>
      <c r="P6" t="n">
        <v>15.87301587301587</v>
      </c>
      <c r="Q6" t="n">
        <v>222.2222222222222</v>
      </c>
      <c r="R6" t="n">
        <v>60</v>
      </c>
      <c r="S6" t="n">
        <v>-162.2222222222222</v>
      </c>
      <c r="T6" s="135" t="n">
        <v>142.8571428571429</v>
      </c>
      <c r="U6" s="135" t="n">
        <v>2000</v>
      </c>
      <c r="V6" s="135" t="n">
        <v>540</v>
      </c>
      <c r="W6" s="135" t="n">
        <v>-1460</v>
      </c>
      <c r="X6" s="136" t="n">
        <v>-0.73</v>
      </c>
      <c r="Y6" s="135" t="n">
        <v>9</v>
      </c>
      <c r="Z6" s="135" t="n">
        <v>0</v>
      </c>
      <c r="AB6" s="137" t="inlineStr"/>
      <c r="AC6" s="137" t="inlineStr"/>
      <c r="AD6" s="137" t="inlineStr"/>
      <c r="AE6" t="inlineStr">
        <is>
          <t>manual:no_ads_source;crm:stale</t>
        </is>
      </c>
      <c r="AF6" t="inlineStr">
        <is>
          <t>crm_mapping</t>
        </is>
      </c>
    </row>
    <row r="7">
      <c r="A7" t="inlineStr">
        <is>
          <t>campaign</t>
        </is>
      </c>
      <c r="B7" s="134" t="n">
        <v>46255</v>
      </c>
      <c r="C7" s="134" t="n">
        <v>46235</v>
      </c>
      <c r="D7" s="134" t="n">
        <v>46254</v>
      </c>
      <c r="E7" t="n">
        <v>18</v>
      </c>
      <c r="F7" t="inlineStr">
        <is>
          <t>Lead Veloce</t>
        </is>
      </c>
      <c r="G7" t="inlineStr">
        <is>
          <t>Dem</t>
        </is>
      </c>
      <c r="H7" t="inlineStr">
        <is>
          <t>DEM</t>
        </is>
      </c>
      <c r="I7" t="inlineStr">
        <is>
          <t>DEM TIG</t>
        </is>
      </c>
      <c r="J7" s="135" t="n">
        <v>1000</v>
      </c>
      <c r="K7" s="136" t="n">
        <v>0.0232558139534883</v>
      </c>
      <c r="L7" s="135" t="n">
        <v>500</v>
      </c>
      <c r="M7" t="n">
        <v>2</v>
      </c>
      <c r="N7" s="135" t="n">
        <v>8</v>
      </c>
      <c r="O7" t="n">
        <v>125</v>
      </c>
      <c r="P7" t="n">
        <v>5.952380952380953</v>
      </c>
      <c r="Q7" t="n">
        <v>83.33333333333334</v>
      </c>
      <c r="R7" t="n">
        <v>45</v>
      </c>
      <c r="S7" t="n">
        <v>-38.33333333333334</v>
      </c>
      <c r="T7" s="135" t="n">
        <v>47.61904761904762</v>
      </c>
      <c r="U7" s="135" t="n">
        <v>666.6666666666667</v>
      </c>
      <c r="V7" s="135" t="n">
        <v>360</v>
      </c>
      <c r="W7" s="135" t="n">
        <v>-306.6666666666667</v>
      </c>
      <c r="X7" s="136" t="n">
        <v>-0.4600000000000001</v>
      </c>
      <c r="Y7" s="135" t="n">
        <v>8</v>
      </c>
      <c r="Z7" s="135" t="n">
        <v>0</v>
      </c>
      <c r="AB7" s="137" t="inlineStr"/>
      <c r="AC7" s="137" t="inlineStr"/>
      <c r="AD7" s="137" t="inlineStr"/>
      <c r="AE7" t="inlineStr">
        <is>
          <t>manual:no_ads_source;crm:stale</t>
        </is>
      </c>
      <c r="AF7" t="inlineStr">
        <is>
          <t>crm_mapping</t>
        </is>
      </c>
    </row>
    <row r="8">
      <c r="A8" t="inlineStr">
        <is>
          <t>campaign</t>
        </is>
      </c>
      <c r="B8" s="134" t="n">
        <v>46255</v>
      </c>
      <c r="C8" s="134" t="n">
        <v>46235</v>
      </c>
      <c r="D8" s="134" t="n">
        <v>46254</v>
      </c>
      <c r="E8" t="n">
        <v>6</v>
      </c>
      <c r="F8" t="inlineStr">
        <is>
          <t>Lead Veloce</t>
        </is>
      </c>
      <c r="G8" t="inlineStr">
        <is>
          <t>Google</t>
        </is>
      </c>
      <c r="H8" t="inlineStr">
        <is>
          <t>Search</t>
        </is>
      </c>
      <c r="I8" t="inlineStr">
        <is>
          <t>DYN_VELOCE Cessione del Quinto QUINTO DIGITALE</t>
        </is>
      </c>
      <c r="J8" s="135" t="n">
        <v>2000</v>
      </c>
      <c r="K8" s="136" t="n">
        <v>0.0465116279069767</v>
      </c>
      <c r="L8" s="135" t="n">
        <v>650</v>
      </c>
      <c r="M8" t="n">
        <v>3.08</v>
      </c>
      <c r="N8" s="135" t="n">
        <v>31</v>
      </c>
      <c r="O8" t="n">
        <v>64.51612903225806</v>
      </c>
      <c r="P8" t="n">
        <v>2.081165452653486</v>
      </c>
      <c r="Q8" t="n">
        <v>41.62330905306972</v>
      </c>
      <c r="R8" t="n">
        <v>22</v>
      </c>
      <c r="S8" t="n">
        <v>-19.62330905306972</v>
      </c>
      <c r="T8" s="135" t="n">
        <v>64.51612903225806</v>
      </c>
      <c r="U8" s="135" t="n">
        <v>1290.322580645161</v>
      </c>
      <c r="V8" s="135" t="n">
        <v>1287.967718</v>
      </c>
      <c r="W8" s="135" t="n">
        <v>-2.35486264516112</v>
      </c>
      <c r="X8" s="136" t="n">
        <v>-0.0018250185499998</v>
      </c>
      <c r="Y8" s="135" t="n">
        <v>58.54398718181819</v>
      </c>
      <c r="Z8" s="135" t="n">
        <v>27.54398718181819</v>
      </c>
      <c r="AB8" s="137" t="inlineStr">
        <is>
          <t>23968989759</t>
        </is>
      </c>
      <c r="AC8" s="137" t="inlineStr"/>
      <c r="AD8" s="137" t="inlineStr"/>
      <c r="AE8" t="inlineStr">
        <is>
          <t>google:ok;crm:stale</t>
        </is>
      </c>
      <c r="AF8" t="inlineStr">
        <is>
          <t>crm_mapping</t>
        </is>
      </c>
    </row>
    <row r="9">
      <c r="A9" t="inlineStr">
        <is>
          <t>campaign</t>
        </is>
      </c>
      <c r="B9" s="134" t="n">
        <v>46255</v>
      </c>
      <c r="C9" s="134" t="n">
        <v>46235</v>
      </c>
      <c r="D9" s="134" t="n">
        <v>46254</v>
      </c>
      <c r="E9" t="n">
        <v>7</v>
      </c>
      <c r="F9" t="inlineStr">
        <is>
          <t>Lead Veloce</t>
        </is>
      </c>
      <c r="G9" t="inlineStr">
        <is>
          <t>Google</t>
        </is>
      </c>
      <c r="H9" t="inlineStr">
        <is>
          <t>Search</t>
        </is>
      </c>
      <c r="I9" t="inlineStr">
        <is>
          <t>DYN_VELOCE Cessione del Quinto [Esatta] QUINTO DIGITALE</t>
        </is>
      </c>
      <c r="J9" s="135" t="n">
        <v>4000</v>
      </c>
      <c r="K9" s="136" t="n">
        <v>0.0930232558139534</v>
      </c>
      <c r="L9" s="135" t="n">
        <v>533</v>
      </c>
      <c r="M9" t="n">
        <v>7.5</v>
      </c>
      <c r="N9" s="135" t="n">
        <v>37</v>
      </c>
      <c r="O9" t="n">
        <v>108.1081081081081</v>
      </c>
      <c r="P9" t="n">
        <v>3.487358326068004</v>
      </c>
      <c r="Q9" t="n">
        <v>69.74716652136007</v>
      </c>
      <c r="R9" t="n">
        <v>20</v>
      </c>
      <c r="S9" t="n">
        <v>-49.74716652136007</v>
      </c>
      <c r="T9" s="135" t="n">
        <v>129.0322580645161</v>
      </c>
      <c r="U9" s="135" t="n">
        <v>2580.645161290322</v>
      </c>
      <c r="V9" s="135" t="n">
        <v>2565.755958</v>
      </c>
      <c r="W9" s="135" t="n">
        <v>-14.88920329032226</v>
      </c>
      <c r="X9" s="136" t="n">
        <v>-0.0057695662749998</v>
      </c>
      <c r="Y9" s="135" t="n">
        <v>128.2877979</v>
      </c>
      <c r="Z9" s="135" t="n">
        <v>91.28779790000002</v>
      </c>
      <c r="AB9" s="137" t="inlineStr">
        <is>
          <t>23990314506</t>
        </is>
      </c>
      <c r="AC9" s="137" t="inlineStr"/>
      <c r="AD9" s="137" t="inlineStr"/>
      <c r="AE9" t="inlineStr">
        <is>
          <t>google:ok;crm:stale</t>
        </is>
      </c>
      <c r="AF9" t="inlineStr">
        <is>
          <t>crm_mapping</t>
        </is>
      </c>
    </row>
    <row r="10">
      <c r="A10" t="inlineStr">
        <is>
          <t>campaign</t>
        </is>
      </c>
      <c r="B10" s="134" t="n">
        <v>46255</v>
      </c>
      <c r="C10" s="134" t="n">
        <v>46235</v>
      </c>
      <c r="D10" s="134" t="n">
        <v>46254</v>
      </c>
      <c r="E10" t="n">
        <v>8</v>
      </c>
      <c r="F10" t="inlineStr">
        <is>
          <t>Lead Veloce</t>
        </is>
      </c>
      <c r="G10" t="inlineStr">
        <is>
          <t>Google</t>
        </is>
      </c>
      <c r="H10" t="inlineStr">
        <is>
          <t>Search</t>
        </is>
      </c>
      <c r="I10" t="inlineStr">
        <is>
          <t>DYN_VELOCE CQ Pensionati QUINTO DIGITALE</t>
        </is>
      </c>
      <c r="J10" s="135" t="n">
        <v>500</v>
      </c>
      <c r="K10" s="136" t="n">
        <v>0.0116279069767441</v>
      </c>
      <c r="L10" s="135" t="n">
        <v>800</v>
      </c>
      <c r="M10" t="n">
        <v>0.63</v>
      </c>
      <c r="N10" s="135" t="n">
        <v>58</v>
      </c>
      <c r="O10" t="n">
        <v>8.620689655172415</v>
      </c>
      <c r="P10" t="n">
        <v>0.2780867630700779</v>
      </c>
      <c r="Q10" t="n">
        <v>5.561735261401558</v>
      </c>
      <c r="R10" t="n">
        <v>2</v>
      </c>
      <c r="S10" t="n">
        <v>-3.561735261401558</v>
      </c>
      <c r="T10" s="135" t="n">
        <v>16.12903225806452</v>
      </c>
      <c r="U10" s="135" t="n">
        <v>322.5806451612903</v>
      </c>
      <c r="V10" s="135" t="n">
        <v>330.470885</v>
      </c>
      <c r="W10" s="135" t="n">
        <v>7.890239838709704</v>
      </c>
      <c r="X10" s="136" t="n">
        <v>0.0244597435</v>
      </c>
      <c r="Y10" s="135" t="n">
        <v>165.2354425</v>
      </c>
      <c r="Z10" s="135" t="n">
        <v>107.2354425</v>
      </c>
      <c r="AB10" s="137" t="inlineStr">
        <is>
          <t>23993375943</t>
        </is>
      </c>
      <c r="AC10" s="137" t="inlineStr"/>
      <c r="AD10" s="137" t="inlineStr"/>
      <c r="AE10" t="inlineStr">
        <is>
          <t>google:ok;crm:stale</t>
        </is>
      </c>
      <c r="AF10" t="inlineStr">
        <is>
          <t>crm_mapping</t>
        </is>
      </c>
    </row>
    <row r="11">
      <c r="A11" t="inlineStr">
        <is>
          <t>campaign</t>
        </is>
      </c>
      <c r="B11" s="134" t="n">
        <v>46255</v>
      </c>
      <c r="C11" s="134" t="n">
        <v>46235</v>
      </c>
      <c r="D11" s="134" t="n">
        <v>46254</v>
      </c>
      <c r="E11" t="n">
        <v>9</v>
      </c>
      <c r="F11" t="inlineStr">
        <is>
          <t>Lead Veloce</t>
        </is>
      </c>
      <c r="G11" t="inlineStr">
        <is>
          <t>Google</t>
        </is>
      </c>
      <c r="H11" t="inlineStr">
        <is>
          <t>Search</t>
        </is>
      </c>
      <c r="I11" t="inlineStr">
        <is>
          <t>DYN_VELOCE CQ Pensionati ESTERO - Paesi Prioritari QUINTO DIGITALE</t>
        </is>
      </c>
      <c r="J11" s="135" t="n">
        <v>500</v>
      </c>
      <c r="K11" s="136" t="n">
        <v>0.0116279069767441</v>
      </c>
      <c r="L11" s="135" t="n">
        <v>500</v>
      </c>
      <c r="M11" t="n">
        <v>1</v>
      </c>
      <c r="N11" s="135" t="n">
        <v>160</v>
      </c>
      <c r="O11" t="n">
        <v>3.125</v>
      </c>
      <c r="P11" t="n">
        <v>0.1008064516129032</v>
      </c>
      <c r="Q11" t="n">
        <v>2.016129032258065</v>
      </c>
      <c r="R11" t="n">
        <v>1</v>
      </c>
      <c r="S11" t="n">
        <v>-1.016129032258065</v>
      </c>
      <c r="T11" s="135" t="n">
        <v>16.12903225806452</v>
      </c>
      <c r="U11" s="135" t="n">
        <v>322.5806451612903</v>
      </c>
      <c r="V11" s="135" t="n">
        <v>157.606346</v>
      </c>
      <c r="W11" s="135" t="n">
        <v>-164.9742991612903</v>
      </c>
      <c r="X11" s="136" t="n">
        <v>-0.5114203274</v>
      </c>
      <c r="Y11" s="135" t="n">
        <v>157.606346</v>
      </c>
      <c r="Z11" s="135" t="n">
        <v>-2.393653999999998</v>
      </c>
      <c r="AB11" s="137" t="inlineStr">
        <is>
          <t>23993437149</t>
        </is>
      </c>
      <c r="AC11" s="137" t="inlineStr"/>
      <c r="AD11" s="137" t="inlineStr"/>
      <c r="AE11" t="inlineStr">
        <is>
          <t>google:ok;crm:stale</t>
        </is>
      </c>
      <c r="AF11" t="inlineStr">
        <is>
          <t>crm_mapping</t>
        </is>
      </c>
    </row>
    <row r="12">
      <c r="A12" t="inlineStr">
        <is>
          <t>campaign</t>
        </is>
      </c>
      <c r="B12" s="134" t="n">
        <v>46255</v>
      </c>
      <c r="C12" s="134" t="n">
        <v>46235</v>
      </c>
      <c r="D12" s="134" t="n">
        <v>46254</v>
      </c>
      <c r="E12" t="n">
        <v>11</v>
      </c>
      <c r="F12" t="inlineStr">
        <is>
          <t>Lead Veloce</t>
        </is>
      </c>
      <c r="G12" t="inlineStr">
        <is>
          <t>Meta</t>
        </is>
      </c>
      <c r="H12" t="inlineStr">
        <is>
          <t>Display</t>
        </is>
      </c>
      <c r="I12" t="inlineStr">
        <is>
          <t>DYN_VELOCE New Creative Apr26</t>
        </is>
      </c>
      <c r="J12" s="135" t="n">
        <v>5500</v>
      </c>
      <c r="K12" s="136" t="n">
        <v>0.127906976744186</v>
      </c>
      <c r="L12" s="135" t="n">
        <v>600</v>
      </c>
      <c r="M12" t="n">
        <v>9.17</v>
      </c>
      <c r="N12" s="135" t="n">
        <v>19</v>
      </c>
      <c r="O12" t="n">
        <v>289.4736842105263</v>
      </c>
      <c r="P12" t="n">
        <v>9.33786078098472</v>
      </c>
      <c r="Q12" t="n">
        <v>186.7572156196944</v>
      </c>
      <c r="R12" t="n">
        <v>92</v>
      </c>
      <c r="S12" t="n">
        <v>-94.75721561969441</v>
      </c>
      <c r="T12" s="135" t="n">
        <v>177.4193548387097</v>
      </c>
      <c r="U12" s="135" t="n">
        <v>3548.387096774193</v>
      </c>
      <c r="V12" s="135" t="n">
        <v>3542.01</v>
      </c>
      <c r="W12" s="135" t="n">
        <v>-6.377096774192978</v>
      </c>
      <c r="X12" s="136" t="n">
        <v>-0.0017971818181816</v>
      </c>
      <c r="Y12" s="135" t="n">
        <v>38.50010869565217</v>
      </c>
      <c r="Z12" s="135" t="n">
        <v>19.50010869565217</v>
      </c>
      <c r="AB12" s="137" t="inlineStr"/>
      <c r="AC12" s="137" t="inlineStr">
        <is>
          <t>6944411197975</t>
        </is>
      </c>
      <c r="AD12" s="137" t="inlineStr"/>
      <c r="AE12" t="inlineStr">
        <is>
          <t>meta:ok;crm:stale</t>
        </is>
      </c>
      <c r="AF12" t="inlineStr">
        <is>
          <t>crm_mapping</t>
        </is>
      </c>
    </row>
    <row r="13">
      <c r="A13" t="inlineStr">
        <is>
          <t>campaign</t>
        </is>
      </c>
      <c r="B13" s="134" t="n">
        <v>46255</v>
      </c>
      <c r="C13" s="134" t="n">
        <v>46235</v>
      </c>
      <c r="D13" s="134" t="n">
        <v>46254</v>
      </c>
      <c r="E13" t="n">
        <v>12</v>
      </c>
      <c r="F13" t="inlineStr">
        <is>
          <t>Lead Veloce</t>
        </is>
      </c>
      <c r="G13" t="inlineStr">
        <is>
          <t>Meta</t>
        </is>
      </c>
      <c r="H13" t="inlineStr">
        <is>
          <t>Display</t>
        </is>
      </c>
      <c r="I13" t="inlineStr">
        <is>
          <t>[BMK 2025] LeadGen CQD PEN [Romania]</t>
        </is>
      </c>
      <c r="J13" s="135" t="n">
        <v>500</v>
      </c>
      <c r="K13" s="136" t="n">
        <v>0.0116279069767441</v>
      </c>
      <c r="L13" s="135" t="n">
        <v>1000</v>
      </c>
      <c r="M13" t="n">
        <v>0.5</v>
      </c>
      <c r="N13" s="135" t="n">
        <v>30</v>
      </c>
      <c r="O13" t="n">
        <v>16.66666666666667</v>
      </c>
      <c r="P13" t="n">
        <v>0.5376344086021506</v>
      </c>
      <c r="Q13" t="n">
        <v>10.75268817204301</v>
      </c>
      <c r="R13" t="n">
        <v>7</v>
      </c>
      <c r="S13" t="n">
        <v>-3.752688172043012</v>
      </c>
      <c r="T13" s="135" t="n">
        <v>16.12903225806452</v>
      </c>
      <c r="U13" s="135" t="n">
        <v>322.5806451612903</v>
      </c>
      <c r="V13" s="135" t="n">
        <v>201.47</v>
      </c>
      <c r="W13" s="135" t="n">
        <v>-121.1106451612903</v>
      </c>
      <c r="X13" s="136" t="n">
        <v>-0.3754429999999999</v>
      </c>
      <c r="Y13" s="135" t="n">
        <v>28.78142857142857</v>
      </c>
      <c r="Z13" s="135" t="n">
        <v>-1.21857142857143</v>
      </c>
      <c r="AB13" s="137" t="inlineStr"/>
      <c r="AC13" s="137" t="inlineStr">
        <is>
          <t>6970690462575</t>
        </is>
      </c>
      <c r="AD13" s="137" t="inlineStr"/>
      <c r="AE13" t="inlineStr">
        <is>
          <t>meta:ok;crm:stale</t>
        </is>
      </c>
      <c r="AF13" t="inlineStr">
        <is>
          <t>crm_mapping</t>
        </is>
      </c>
    </row>
    <row r="14">
      <c r="A14" t="inlineStr">
        <is>
          <t>campaign</t>
        </is>
      </c>
      <c r="B14" s="134" t="n">
        <v>46255</v>
      </c>
      <c r="C14" s="134" t="n">
        <v>46235</v>
      </c>
      <c r="D14" s="134" t="n">
        <v>46254</v>
      </c>
      <c r="E14" t="n">
        <v>13</v>
      </c>
      <c r="F14" t="inlineStr">
        <is>
          <t>Lead Veloce</t>
        </is>
      </c>
      <c r="G14" t="inlineStr">
        <is>
          <t>Meta</t>
        </is>
      </c>
      <c r="H14" t="inlineStr">
        <is>
          <t>Display</t>
        </is>
      </c>
      <c r="I14" t="inlineStr">
        <is>
          <t>[BMK 2025] LeadGen CQD PEN [Tunisia]</t>
        </is>
      </c>
      <c r="J14" s="135" t="n">
        <v>500</v>
      </c>
      <c r="K14" s="136" t="n">
        <v>0.0116279069767441</v>
      </c>
      <c r="L14" s="135" t="n">
        <v>540</v>
      </c>
      <c r="N14" s="135" t="n">
        <v>90</v>
      </c>
      <c r="O14" t="n">
        <v>5.555555555555555</v>
      </c>
      <c r="P14" t="n">
        <v>0.1792114695340501</v>
      </c>
      <c r="Q14" t="n">
        <v>3.584229390681004</v>
      </c>
      <c r="R14" t="n">
        <v>0</v>
      </c>
      <c r="S14" t="n">
        <v>-3.584229390681004</v>
      </c>
      <c r="T14" s="135" t="n">
        <v>16.12903225806452</v>
      </c>
      <c r="U14" s="135" t="n">
        <v>322.5806451612903</v>
      </c>
      <c r="V14" s="135" t="n">
        <v>198.67</v>
      </c>
      <c r="W14" s="135" t="n">
        <v>-123.9106451612903</v>
      </c>
      <c r="X14" s="136" t="n">
        <v>-0.384123</v>
      </c>
      <c r="Y14" s="135" t="n"/>
      <c r="Z14" s="135" t="n"/>
      <c r="AB14" s="137" t="inlineStr"/>
      <c r="AC14" s="137" t="inlineStr">
        <is>
          <t>6634088776775</t>
        </is>
      </c>
      <c r="AD14" s="137" t="inlineStr"/>
      <c r="AE14" t="inlineStr">
        <is>
          <t>meta:ok;crm:stale</t>
        </is>
      </c>
      <c r="AF14" t="inlineStr">
        <is>
          <t>crm_mapping</t>
        </is>
      </c>
    </row>
    <row r="15">
      <c r="A15" t="inlineStr">
        <is>
          <t>campaign</t>
        </is>
      </c>
      <c r="B15" s="134" t="n">
        <v>46255</v>
      </c>
      <c r="C15" s="134" t="n">
        <v>46235</v>
      </c>
      <c r="D15" s="134" t="n">
        <v>46254</v>
      </c>
      <c r="E15" t="n">
        <v>10</v>
      </c>
      <c r="F15" t="inlineStr">
        <is>
          <t>Pulsanti</t>
        </is>
      </c>
      <c r="G15" t="inlineStr">
        <is>
          <t>Google</t>
        </is>
      </c>
      <c r="H15" t="inlineStr">
        <is>
          <t>Display</t>
        </is>
      </c>
      <c r="I15" t="inlineStr">
        <is>
          <t>DYN_PUL Leads-Pmax</t>
        </is>
      </c>
      <c r="J15" s="135" t="n">
        <v>1500</v>
      </c>
      <c r="K15" s="136" t="n">
        <v>0.0348837209302325</v>
      </c>
      <c r="L15" s="135" t="n">
        <v>897</v>
      </c>
      <c r="M15" t="n">
        <v>1.67</v>
      </c>
      <c r="N15" s="135" t="n">
        <v>12</v>
      </c>
      <c r="O15" t="n">
        <v>125</v>
      </c>
      <c r="P15" t="n">
        <v>4.032258064516129</v>
      </c>
      <c r="Q15" t="n">
        <v>80.64516129032258</v>
      </c>
      <c r="R15" t="n">
        <v>19</v>
      </c>
      <c r="S15" t="n">
        <v>-61.64516129032258</v>
      </c>
      <c r="T15" s="135" t="n">
        <v>48.38709677419355</v>
      </c>
      <c r="U15" s="135" t="n">
        <v>967.741935483871</v>
      </c>
      <c r="V15" s="135" t="n">
        <v>956.753649</v>
      </c>
      <c r="W15" s="135" t="n">
        <v>-10.98828648387098</v>
      </c>
      <c r="X15" s="136" t="n">
        <v>-0.0113545627</v>
      </c>
      <c r="Y15" s="135" t="n">
        <v>50.35545521052632</v>
      </c>
      <c r="Z15" s="135" t="n">
        <v>38.35545521052632</v>
      </c>
      <c r="AB15" s="137" t="inlineStr">
        <is>
          <t>21905808840</t>
        </is>
      </c>
      <c r="AC15" s="137" t="inlineStr"/>
      <c r="AD15" s="137" t="inlineStr"/>
      <c r="AE15" t="inlineStr">
        <is>
          <t>google:ok;crm:stale</t>
        </is>
      </c>
      <c r="AF15" t="inlineStr">
        <is>
          <t>crm_mapping</t>
        </is>
      </c>
    </row>
    <row r="16">
      <c r="A16" t="inlineStr">
        <is>
          <t>campaign</t>
        </is>
      </c>
      <c r="B16" s="134" t="n">
        <v>46255</v>
      </c>
      <c r="C16" s="134" t="n">
        <v>46235</v>
      </c>
      <c r="D16" s="134" t="n">
        <v>46254</v>
      </c>
      <c r="E16" t="n">
        <v>14</v>
      </c>
      <c r="F16" t="inlineStr">
        <is>
          <t>Whatsapp</t>
        </is>
      </c>
      <c r="G16" t="inlineStr">
        <is>
          <t>Meta</t>
        </is>
      </c>
      <c r="H16" t="inlineStr">
        <is>
          <t>Display</t>
        </is>
      </c>
      <c r="I16" t="inlineStr">
        <is>
          <t>DYN_Landing_Whatsapp</t>
        </is>
      </c>
      <c r="J16" s="135" t="n">
        <v>1000</v>
      </c>
      <c r="K16" s="136" t="n">
        <v>0.0232558139534883</v>
      </c>
      <c r="L16" s="135" t="n"/>
      <c r="N16" s="135" t="n">
        <v>23</v>
      </c>
      <c r="O16" t="n">
        <v>43.47826086956522</v>
      </c>
      <c r="P16" t="n">
        <v>1.402524544179523</v>
      </c>
      <c r="Q16" t="n">
        <v>28.05049088359046</v>
      </c>
      <c r="R16" t="n">
        <v>3</v>
      </c>
      <c r="S16" t="n">
        <v>-25.05049088359046</v>
      </c>
      <c r="T16" s="135" t="n">
        <v>32.25806451612903</v>
      </c>
      <c r="U16" s="135" t="n">
        <v>645.1612903225806</v>
      </c>
      <c r="V16" s="135" t="n">
        <v>589.52</v>
      </c>
      <c r="W16" s="135" t="n">
        <v>-55.64129032258063</v>
      </c>
      <c r="X16" s="136" t="n">
        <v>-0.0862439999999999</v>
      </c>
      <c r="Y16" s="135" t="n">
        <v>196.5066666666666</v>
      </c>
      <c r="Z16" s="135" t="n">
        <v>173.5066666666667</v>
      </c>
      <c r="AB16" s="137" t="inlineStr"/>
      <c r="AC16" s="137" t="inlineStr">
        <is>
          <t>52533122877779</t>
        </is>
      </c>
      <c r="AD16" s="137" t="inlineStr"/>
      <c r="AE16" t="inlineStr">
        <is>
          <t>meta:ok;crm:stale</t>
        </is>
      </c>
      <c r="AF16" t="inlineStr">
        <is>
          <t>crm_mapping</t>
        </is>
      </c>
    </row>
    <row r="17">
      <c r="A17" t="inlineStr">
        <is>
          <t>subtotal</t>
        </is>
      </c>
      <c r="B17" s="134" t="n">
        <v>46255</v>
      </c>
      <c r="C17" s="134" t="n">
        <v>46235</v>
      </c>
      <c r="D17" s="134" t="n">
        <v>46254</v>
      </c>
      <c r="F17" t="inlineStr">
        <is>
          <t>TOT Area Clienti</t>
        </is>
      </c>
      <c r="I17" t="inlineStr">
        <is>
          <t>TOT Area Clienti</t>
        </is>
      </c>
      <c r="J17" s="135" t="n">
        <v>18500</v>
      </c>
      <c r="K17" s="136" t="n">
        <v>0.4302325581395348</v>
      </c>
      <c r="L17" s="135" t="n">
        <v>418</v>
      </c>
      <c r="M17" t="n">
        <v>44</v>
      </c>
      <c r="N17" s="135" t="n">
        <v>43</v>
      </c>
      <c r="O17" t="n">
        <v>430.2325581395349</v>
      </c>
      <c r="P17" t="n">
        <v>13.87846961740435</v>
      </c>
      <c r="Q17" t="n">
        <v>277.569392348087</v>
      </c>
      <c r="R17" t="n">
        <v>116</v>
      </c>
      <c r="S17" t="n">
        <v>-161.569392348087</v>
      </c>
      <c r="T17" s="135" t="n">
        <v>596.7741935483871</v>
      </c>
      <c r="U17" s="135" t="n">
        <v>11935.48387096774</v>
      </c>
      <c r="V17" s="135" t="n">
        <v>11502.190437</v>
      </c>
      <c r="W17" s="135" t="n">
        <v>-433.2934339677431</v>
      </c>
      <c r="X17" s="136" t="n">
        <v>-0.0363029633864865</v>
      </c>
      <c r="Y17" s="135" t="n">
        <v>99.15681411206896</v>
      </c>
      <c r="Z17" s="135" t="n">
        <v>56.15681411206896</v>
      </c>
      <c r="AB17" s="137" t="inlineStr"/>
      <c r="AC17" s="137" t="inlineStr"/>
      <c r="AD17" s="137" t="inlineStr"/>
      <c r="AE17" t="inlineStr">
        <is>
          <t>partial;crm:stale</t>
        </is>
      </c>
    </row>
    <row r="18">
      <c r="A18" t="inlineStr">
        <is>
          <t>subtotal</t>
        </is>
      </c>
      <c r="B18" s="134" t="n">
        <v>46255</v>
      </c>
      <c r="C18" s="134" t="n">
        <v>46235</v>
      </c>
      <c r="D18" s="134" t="n">
        <v>46254</v>
      </c>
      <c r="F18" t="inlineStr">
        <is>
          <t>TOT Lead Veloce</t>
        </is>
      </c>
      <c r="I18" t="inlineStr">
        <is>
          <t>TOT Lead Veloce</t>
        </is>
      </c>
      <c r="J18" s="135" t="n">
        <v>16000</v>
      </c>
      <c r="K18" s="136" t="n">
        <v>0.3720930232558139</v>
      </c>
      <c r="L18" s="135" t="n">
        <v>850</v>
      </c>
      <c r="M18" t="n">
        <v>23.55</v>
      </c>
      <c r="N18" s="135" t="n">
        <v>24.0766566765155</v>
      </c>
      <c r="O18" t="n">
        <v>664.5440940978524</v>
      </c>
      <c r="P18" t="n">
        <v>21.43690626122104</v>
      </c>
      <c r="Q18" t="n">
        <v>428.7381252244209</v>
      </c>
      <c r="R18" t="n">
        <v>166</v>
      </c>
      <c r="S18" t="n">
        <v>-262.7381252244209</v>
      </c>
      <c r="T18" s="135" t="n">
        <v>516.1290322580645</v>
      </c>
      <c r="U18" s="135" t="n">
        <v>10322.58064516129</v>
      </c>
      <c r="V18" s="135" t="n">
        <v>9830.224555999999</v>
      </c>
      <c r="W18" s="135" t="n">
        <v>-492.3560891612888</v>
      </c>
      <c r="X18" s="136" t="n">
        <v>-0.0476969961374998</v>
      </c>
      <c r="Y18" s="135" t="n">
        <v>59.21822021686748</v>
      </c>
      <c r="Z18" s="135" t="n">
        <v>35.14156354035198</v>
      </c>
      <c r="AB18" s="137" t="inlineStr"/>
      <c r="AC18" s="137" t="inlineStr"/>
      <c r="AD18" s="137" t="inlineStr"/>
      <c r="AE18" t="inlineStr">
        <is>
          <t>partial;crm:stale</t>
        </is>
      </c>
    </row>
    <row r="19">
      <c r="A19" t="inlineStr">
        <is>
          <t>subtotal</t>
        </is>
      </c>
      <c r="B19" s="134" t="n">
        <v>46255</v>
      </c>
      <c r="C19" s="134" t="n">
        <v>46235</v>
      </c>
      <c r="D19" s="134" t="n">
        <v>46254</v>
      </c>
      <c r="F19" t="inlineStr">
        <is>
          <t>TOT DEM</t>
        </is>
      </c>
      <c r="I19" t="inlineStr">
        <is>
          <t>TOT DEM</t>
        </is>
      </c>
      <c r="J19" s="135" t="n">
        <v>8500</v>
      </c>
      <c r="K19" s="136" t="n">
        <v>0.1976744186046511</v>
      </c>
      <c r="L19" s="135" t="n">
        <v>447.3684210526316</v>
      </c>
      <c r="M19" t="n">
        <v>19</v>
      </c>
      <c r="N19" s="135" t="n">
        <v>8.091858037578287</v>
      </c>
      <c r="O19" t="n">
        <v>1050.438596491228</v>
      </c>
      <c r="P19" t="n">
        <v>50.02088554720134</v>
      </c>
      <c r="Q19" t="n">
        <v>700.2923976608188</v>
      </c>
      <c r="R19" t="n">
        <v>198</v>
      </c>
      <c r="S19" t="n">
        <v>-502.2923976608188</v>
      </c>
      <c r="T19" s="135" t="n">
        <v>404.7619047619048</v>
      </c>
      <c r="U19" s="135" t="n">
        <v>5666.666666666667</v>
      </c>
      <c r="V19" s="135" t="n">
        <v>1606.8</v>
      </c>
      <c r="W19" s="135" t="n">
        <v>-4059.866666666667</v>
      </c>
      <c r="X19" s="136" t="n">
        <v>-0.7164470588235294</v>
      </c>
      <c r="Y19" s="135" t="n">
        <v>8.115151515151515</v>
      </c>
      <c r="Z19" s="135" t="n">
        <v>0.0232934775732278</v>
      </c>
      <c r="AB19" s="137" t="inlineStr"/>
      <c r="AC19" s="137" t="inlineStr"/>
      <c r="AD19" s="137" t="inlineStr"/>
      <c r="AE19" t="inlineStr">
        <is>
          <t>success;crm:stale</t>
        </is>
      </c>
    </row>
    <row r="20">
      <c r="A20" t="inlineStr">
        <is>
          <t>total</t>
        </is>
      </c>
      <c r="B20" s="134" t="n">
        <v>46255</v>
      </c>
      <c r="C20" s="134" t="n">
        <v>46235</v>
      </c>
      <c r="D20" s="134" t="n">
        <v>46254</v>
      </c>
      <c r="F20" t="inlineStr">
        <is>
          <t>TOTALE GENERALE</t>
        </is>
      </c>
      <c r="I20" t="inlineStr">
        <is>
          <t>TOTALE GENERALE</t>
        </is>
      </c>
      <c r="J20" s="135" t="n">
        <v>43000</v>
      </c>
      <c r="K20" s="136" t="n">
        <v>1</v>
      </c>
      <c r="L20" s="135" t="n">
        <v>496.8226458694397</v>
      </c>
      <c r="M20" t="n">
        <v>86.55</v>
      </c>
      <c r="N20" s="135" t="n">
        <v>20.04460858903758</v>
      </c>
      <c r="O20" t="n">
        <v>2145.215248728616</v>
      </c>
      <c r="P20" t="n">
        <v>85.33626142582673</v>
      </c>
      <c r="Q20" t="n">
        <v>1406.599915233327</v>
      </c>
      <c r="R20" t="n">
        <v>480</v>
      </c>
      <c r="S20" t="n">
        <v>-926.5999152333266</v>
      </c>
      <c r="T20" s="135" t="n">
        <v>1517.665130568356</v>
      </c>
      <c r="U20" s="135" t="n">
        <v>27924.7311827957</v>
      </c>
      <c r="V20" s="135" t="n">
        <v>22939.214993</v>
      </c>
      <c r="W20" s="135" t="n">
        <v>-4985.516189795697</v>
      </c>
      <c r="X20" s="136" t="n">
        <v>-0.1785340799580284</v>
      </c>
      <c r="Y20" s="135" t="n">
        <v>47.79003123541667</v>
      </c>
      <c r="Z20" s="135" t="n">
        <v>27.74542264637909</v>
      </c>
      <c r="AB20" s="137" t="inlineStr"/>
      <c r="AC20" s="137" t="inlineStr"/>
      <c r="AD20" s="137" t="inlineStr"/>
      <c r="AE20" t="inlineStr">
        <is>
          <t>partial;crm:stale</t>
        </is>
      </c>
    </row>
  </sheetData>
  <autoFilter ref="A1:AF20"/>
  <pageMargins left="0.7" right="0.7" top="0.75" bottom="0.75" header="0.3" footer="0.3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E8"/>
  <sheetViews>
    <sheetView workbookViewId="0">
      <selection activeCell="A1" sqref="A1"/>
    </sheetView>
  </sheetViews>
  <sheetFormatPr baseColWidth="8" defaultRowHeight="15"/>
  <cols>
    <col width="24" customWidth="1" style="74" min="1" max="1"/>
    <col width="24" customWidth="1" style="74" min="2" max="2"/>
    <col width="34" customWidth="1" style="74" min="4" max="4"/>
    <col width="34" customWidth="1" style="74" min="5" max="5"/>
  </cols>
  <sheetData>
    <row r="1">
      <c r="A1" s="12" t="inlineStr">
        <is>
          <t>Parametro</t>
        </is>
      </c>
      <c r="B1" s="13" t="inlineStr">
        <is>
          <t>Valore</t>
        </is>
      </c>
      <c r="D1" s="32" t="inlineStr">
        <is>
          <t>Regola</t>
        </is>
      </c>
      <c r="E1" s="32" t="inlineStr">
        <is>
          <t>Significato</t>
        </is>
      </c>
    </row>
    <row r="2">
      <c r="A2" s="14" t="inlineStr">
        <is>
          <t>client_name</t>
        </is>
      </c>
      <c r="B2" s="15" t="inlineStr">
        <is>
          <t>Dynamica Retail</t>
        </is>
      </c>
      <c r="D2" s="33" t="inlineStr">
        <is>
          <t>Delta lead</t>
        </is>
      </c>
      <c r="E2" s="33" t="inlineStr">
        <is>
          <t>Lead effettive - Stima progressiva; positivo = sopra target</t>
        </is>
      </c>
    </row>
    <row r="3">
      <c r="A3" s="14" t="inlineStr">
        <is>
          <t>start_date</t>
        </is>
      </c>
      <c r="B3" s="138" t="n">
        <v>46235</v>
      </c>
      <c r="D3" s="33" t="inlineStr">
        <is>
          <t>Delta speso</t>
        </is>
      </c>
      <c r="E3" s="33" t="inlineStr">
        <is>
          <t>Speso effettivo - Stima spending progressiva</t>
        </is>
      </c>
    </row>
    <row r="4">
      <c r="A4" s="14" t="inlineStr">
        <is>
          <t>end_date</t>
        </is>
      </c>
      <c r="B4" s="138" t="n">
        <v>46254</v>
      </c>
      <c r="D4" s="33" t="inlineStr">
        <is>
          <t>Delta CPL</t>
        </is>
      </c>
      <c r="E4" s="33" t="inlineStr">
        <is>
          <t>CPL effettivo - CPL target; negativo = migliore</t>
        </is>
      </c>
    </row>
    <row r="5">
      <c r="A5" s="14" t="inlineStr">
        <is>
          <t>days_in_month</t>
        </is>
      </c>
      <c r="B5" s="15" t="n">
        <v>31</v>
      </c>
      <c r="D5" s="33" t="inlineStr">
        <is>
          <t>Righe input</t>
        </is>
      </c>
      <c r="E5" s="33" t="inlineStr">
        <is>
          <t>6:35; il codice può inserirne altre mantenendo lo stile</t>
        </is>
      </c>
    </row>
    <row r="6">
      <c r="A6" s="14" t="inlineStr">
        <is>
          <t>elapsed_days</t>
        </is>
      </c>
      <c r="B6" s="15" t="n">
        <v>20</v>
      </c>
      <c r="D6" s="33" t="inlineStr">
        <is>
          <t>Riga totale</t>
        </is>
      </c>
      <c r="E6" s="33" t="inlineStr">
        <is>
          <t>36; il codice può spostarla dopo l’ultima riga dati</t>
        </is>
      </c>
    </row>
    <row r="7">
      <c r="A7" s="14" t="inlineStr">
        <is>
          <t>updated_at</t>
        </is>
      </c>
      <c r="B7" s="139" t="n">
        <v>46255.29188657407</v>
      </c>
    </row>
    <row r="8">
      <c r="A8" s="16" t="inlineStr">
        <is>
          <t>source_status</t>
        </is>
      </c>
      <c r="B8" s="17" t="inlineStr">
        <is>
          <t>success</t>
        </is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2026-08-21T05:00:29Z</dcterms:created>
  <dcterms:modified xsi:type="dcterms:W3CDTF">2026-08-21T05:00:30Z</dcterms:modified>
</cp:coreProperties>
</file>